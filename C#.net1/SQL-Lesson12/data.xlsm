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Tech\Teaching\HoangQuocViet\CS2305\"/>
    </mc:Choice>
  </mc:AlternateContent>
  <xr:revisionPtr revIDLastSave="0" documentId="13_ncr:1_{3E57F872-4E81-4B92-B36C-B14343DF377E}" xr6:coauthVersionLast="47" xr6:coauthVersionMax="47" xr10:uidLastSave="{00000000-0000-0000-0000-000000000000}"/>
  <bookViews>
    <workbookView xWindow="28680" yWindow="-120" windowWidth="25440" windowHeight="15270" activeTab="4" xr2:uid="{00000000-000D-0000-FFFF-FFFF00000000}"/>
  </bookViews>
  <sheets>
    <sheet name="DB" sheetId="3" r:id="rId1"/>
    <sheet name="Products" sheetId="1" r:id="rId2"/>
    <sheet name="Tags" sheetId="2" r:id="rId3"/>
    <sheet name="Categories" sheetId="4" r:id="rId4"/>
    <sheet name="Users" sheetId="5" r:id="rId5"/>
    <sheet name="EXS" sheetId="7" r:id="rId6"/>
  </sheets>
  <definedNames>
    <definedName name="_xlnm._FilterDatabase" localSheetId="1" hidden="1">Products!$A$1:$O$45</definedName>
  </definedNames>
  <calcPr calcId="191029"/>
</workbook>
</file>

<file path=xl/calcChain.xml><?xml version="1.0" encoding="utf-8"?>
<calcChain xmlns="http://schemas.openxmlformats.org/spreadsheetml/2006/main">
  <c r="G1" i="5" l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2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3" i="1"/>
  <c r="P4" i="1"/>
  <c r="P2" i="1"/>
  <c r="B1" i="2" l="1"/>
  <c r="A1" i="2"/>
  <c r="J1" i="1" l="1"/>
  <c r="I1" i="1"/>
  <c r="H1" i="1"/>
  <c r="G1" i="1"/>
  <c r="F1" i="1"/>
  <c r="E1" i="1"/>
  <c r="D1" i="1"/>
  <c r="C1" i="1"/>
  <c r="B1" i="1"/>
  <c r="A1" i="1"/>
  <c r="D1" i="4"/>
  <c r="C1" i="4"/>
  <c r="B1" i="4"/>
  <c r="A1" i="4"/>
  <c r="F1" i="5"/>
  <c r="E1" i="5"/>
  <c r="D1" i="5"/>
  <c r="C1" i="5"/>
  <c r="B1" i="5"/>
  <c r="A1" i="5"/>
  <c r="O1" i="1" l="1"/>
  <c r="O21" i="1" s="1"/>
  <c r="M1" i="1"/>
  <c r="M38" i="1" s="1"/>
  <c r="N1" i="1"/>
  <c r="N28" i="1" s="1"/>
  <c r="L1" i="1"/>
  <c r="L23" i="1" s="1"/>
  <c r="K1" i="1"/>
  <c r="K3" i="1" s="1"/>
  <c r="M11" i="1" l="1"/>
  <c r="L11" i="1"/>
  <c r="M30" i="1"/>
  <c r="N31" i="1"/>
  <c r="M12" i="1"/>
  <c r="M31" i="1"/>
  <c r="N40" i="1"/>
  <c r="O2" i="1"/>
  <c r="L24" i="1"/>
  <c r="M3" i="1"/>
  <c r="M23" i="1"/>
  <c r="M40" i="1"/>
  <c r="N7" i="1"/>
  <c r="O32" i="1"/>
  <c r="L12" i="1"/>
  <c r="L3" i="1"/>
  <c r="L27" i="1"/>
  <c r="M9" i="1"/>
  <c r="M24" i="1"/>
  <c r="M42" i="1"/>
  <c r="N8" i="1"/>
  <c r="O39" i="1"/>
  <c r="K14" i="1"/>
  <c r="K10" i="1"/>
  <c r="K13" i="1"/>
  <c r="K9" i="1"/>
  <c r="K5" i="1"/>
  <c r="L7" i="1"/>
  <c r="L16" i="1"/>
  <c r="M7" i="1"/>
  <c r="M17" i="1"/>
  <c r="M25" i="1"/>
  <c r="M37" i="1"/>
  <c r="N26" i="1"/>
  <c r="N36" i="1"/>
  <c r="N16" i="1"/>
  <c r="O5" i="1"/>
  <c r="O19" i="1"/>
  <c r="O22" i="1"/>
  <c r="K6" i="1"/>
  <c r="K2" i="1"/>
  <c r="K12" i="1"/>
  <c r="K8" i="1"/>
  <c r="K4" i="1"/>
  <c r="L8" i="1"/>
  <c r="M6" i="1"/>
  <c r="M20" i="1"/>
  <c r="M26" i="1"/>
  <c r="N42" i="1"/>
  <c r="N3" i="1"/>
  <c r="O8" i="1"/>
  <c r="O18" i="1"/>
  <c r="O35" i="1"/>
  <c r="K15" i="1"/>
  <c r="K11" i="1"/>
  <c r="K7" i="1"/>
  <c r="O43" i="1"/>
  <c r="O13" i="1"/>
</calcChain>
</file>

<file path=xl/sharedStrings.xml><?xml version="1.0" encoding="utf-8"?>
<sst xmlns="http://schemas.openxmlformats.org/spreadsheetml/2006/main" count="347" uniqueCount="213">
  <si>
    <t>9960F6DD-FE5D-46F2-8537-07C2EA02C3DB</t>
  </si>
  <si>
    <t>Tủ lạnh Misubishi</t>
  </si>
  <si>
    <t>CAB4B833-FD38-4F35-B827-26535F2C8E70</t>
  </si>
  <si>
    <t>043362D3-2AA1-401A-BE54-3ECEA1DD3834</t>
  </si>
  <si>
    <t>C5AC662D-3AC2-45CF-83DC-20A3CF8A1FCB</t>
  </si>
  <si>
    <t>Ti vi Sony</t>
  </si>
  <si>
    <t>B8AA2E2C-CDAF-4C83-B563-186951AE8D72</t>
  </si>
  <si>
    <t>0C779398-F39D-4A20-8A0F-48BBEA7341C3</t>
  </si>
  <si>
    <t>15140FC5-8017-40E4-AF01-280CDE097260</t>
  </si>
  <si>
    <t>Honda Accord</t>
  </si>
  <si>
    <t>D4B6A885-9C76-4AFE-860F-B8CD0E9F9DF2</t>
  </si>
  <si>
    <t>508BC176-400A-4DE9-8172-2DEC0AF91E42</t>
  </si>
  <si>
    <t>Điều hòa Daikin</t>
  </si>
  <si>
    <t>1AD749AE-FDEB-4145-B7CF-26D5E4E28DDA</t>
  </si>
  <si>
    <t>47B0628D-51A8-4342-8924-4EB983D924A3</t>
  </si>
  <si>
    <t>Laptop Macbook</t>
  </si>
  <si>
    <t>78757A1A-BA39-4B93-8D5E-71A9DB80A418</t>
  </si>
  <si>
    <t>0C031795-8555-4EAD-91D0-8C556BBD39D6</t>
  </si>
  <si>
    <t>Laptop Lenovo</t>
  </si>
  <si>
    <t>CE0A8612-13F1-4BF5-AAFB-8D73DE3336D4</t>
  </si>
  <si>
    <t>Điều hòa Panasonic</t>
  </si>
  <si>
    <t>347470A0-56B0-42FC-915C-98D2968A9D9E</t>
  </si>
  <si>
    <t>Ti vi Toshiba</t>
  </si>
  <si>
    <t>FEED9AAB-791D-4CED-B353-A9BDC98D9841</t>
  </si>
  <si>
    <t>Acura MDX</t>
  </si>
  <si>
    <t>AEF604E2-2D67-4424-A262-7FD20F3D57DF</t>
  </si>
  <si>
    <t>Sam sung S20</t>
  </si>
  <si>
    <t>3A14E4E5-F684-4601-83F0-08982FED470F</t>
  </si>
  <si>
    <t>0F6DC8E2-6B84-46A4-BAAA-84703E917293</t>
  </si>
  <si>
    <t>Iphone 11 Promax</t>
  </si>
  <si>
    <t>E05EDA53-FBE3-4419-A7A7-C82720936BEE</t>
  </si>
  <si>
    <t>Tủ lạnh Electrolux</t>
  </si>
  <si>
    <t>44939ED2-F1A8-4900-802E-D0276FC75D19</t>
  </si>
  <si>
    <t>Honda CBR</t>
  </si>
  <si>
    <t>72D99613-DF6B-4116-BC38-E2EEFE91C774</t>
  </si>
  <si>
    <t>7A4A5893-BE4B-438D-9799-EE3829E694B6</t>
  </si>
  <si>
    <t>Kawasaki Ninja</t>
  </si>
  <si>
    <t>016D3CA1-780B-4416-A800-D469A8C0394C</t>
  </si>
  <si>
    <t>Mazda 3</t>
  </si>
  <si>
    <t>8278C1CB-35BA-4E5D-B6AB-DEA99F28B3F0</t>
  </si>
  <si>
    <t>Ti vi Samsung</t>
  </si>
  <si>
    <t>C636471C-A53B-4C80-940D-C8755948ED8E</t>
  </si>
  <si>
    <t>Tủ lạnh LG</t>
  </si>
  <si>
    <t>CF4DC43B-F7E2-411D-83BB-C8AB1E5CFED8</t>
  </si>
  <si>
    <t>Tủ lạnh Toshiba</t>
  </si>
  <si>
    <t>98BCD4C7-1825-4E3A-9B42-85F8AD37B7A8</t>
  </si>
  <si>
    <t>Samsung Note9</t>
  </si>
  <si>
    <t>991E4F34-AB22-4F1F-A10A-B54CEA7F2387</t>
  </si>
  <si>
    <t>Điều hòa Funiki</t>
  </si>
  <si>
    <t>DC26492C-9DB1-448F-99D1-B73BA7AA8C73</t>
  </si>
  <si>
    <t>Điều hòa LG</t>
  </si>
  <si>
    <t>8403BCD4-2A12-4B6C-BBCF-BA8F9B959DC0</t>
  </si>
  <si>
    <t>Ti vi LG</t>
  </si>
  <si>
    <t>822040E0-D30A-4A7D-A2D4-C7D9E208FF21</t>
  </si>
  <si>
    <t>Iphone X</t>
  </si>
  <si>
    <t>F5558EDD-DB63-497C-B2DD-694B61A75E68</t>
  </si>
  <si>
    <t>Laptop Asus</t>
  </si>
  <si>
    <t>E0E79F5D-BEE7-4353-B04E-33413B19B5DD</t>
  </si>
  <si>
    <t>Laptop Acer</t>
  </si>
  <si>
    <t>D0AA60AA-BE3F-43F8-BF83-482CDB7EF22E</t>
  </si>
  <si>
    <t>Honda Civic</t>
  </si>
  <si>
    <t>9596CB95-222F-4955-8FD7-314BFCF301BE</t>
  </si>
  <si>
    <t>Yamaha Grande</t>
  </si>
  <si>
    <t>BF068F7B-A02C-4B0A-ABC9-2DA4D9DBD0C2</t>
  </si>
  <si>
    <t>Suzuki Hayate</t>
  </si>
  <si>
    <t>24303990-A70D-4A89-A010-321B8AE8DF45</t>
  </si>
  <si>
    <t>Laptop LG</t>
  </si>
  <si>
    <t>FF534BB5-FA79-404A-8B17-240A91D2B1CF</t>
  </si>
  <si>
    <t>Iphone 8</t>
  </si>
  <si>
    <t>6ECCD342-78B7-4374-863C-1D89418A2773</t>
  </si>
  <si>
    <t>Tủ lạnh Aqua</t>
  </si>
  <si>
    <t>D11232B3-3C79-4CFD-9DFE-493196BF1324</t>
  </si>
  <si>
    <t>Honda Airblade</t>
  </si>
  <si>
    <t>7162ADB3-6BFD-4D81-A184-370B967BBDBE</t>
  </si>
  <si>
    <t>Yamaha Nouvo</t>
  </si>
  <si>
    <t>87E6C55A-64DD-4010-A2BD-6BD5C3C546AE</t>
  </si>
  <si>
    <t>Điều hòa Casper</t>
  </si>
  <si>
    <t>D7D8C32C-661B-41C2-8CFE-5A4F448CBF2A</t>
  </si>
  <si>
    <t>Hyundai Accent</t>
  </si>
  <si>
    <t>A8325B2F-7062-40C6-8639-5D56975EF553</t>
  </si>
  <si>
    <t>Ti vi Sharp</t>
  </si>
  <si>
    <t>BB128D3A-F44C-4405-A4CE-9F684D4A9927</t>
  </si>
  <si>
    <t>Ti vi Asanzo</t>
  </si>
  <si>
    <t>C0D0D88D-C4EB-49D9-8AE0-A65DA3A03F90</t>
  </si>
  <si>
    <t>Điều hòa Misubishi</t>
  </si>
  <si>
    <t>2CE11881-92E5-48C8-B34D-DF7EF57812EA</t>
  </si>
  <si>
    <t>Samsung S7</t>
  </si>
  <si>
    <t>F6DC7CC8-D7B5-4256-B7CA-E7994DFCCE79</t>
  </si>
  <si>
    <t>Toyota Vios</t>
  </si>
  <si>
    <t>0A51515C-BE3B-4496-AAC0-EACFBB8B2A50</t>
  </si>
  <si>
    <t>Laptop Dell</t>
  </si>
  <si>
    <t>8B3EB361-8963-4440-8557-F94825653158</t>
  </si>
  <si>
    <t>Tủ lạnh Sharp</t>
  </si>
  <si>
    <t>Sản phẩm mới</t>
  </si>
  <si>
    <t>Sản phẩm bán chạy</t>
  </si>
  <si>
    <t>C7826836-D130-42C0-AA49-8233887D8EDF</t>
  </si>
  <si>
    <t>FF0899EC-1458-4464-8D46-ADBB82FF41FA</t>
  </si>
  <si>
    <t>DFAFA1D7-4760-4BB0-8ED0-C2A43E3E9975</t>
  </si>
  <si>
    <t>Sản phẩm khuyến mại</t>
  </si>
  <si>
    <t>6C9AF5D8-314E-49BF-8E24-D577419E31A3</t>
  </si>
  <si>
    <t>Sản phẩm điện tử</t>
  </si>
  <si>
    <t>9B669D66-0CB6-4020-BF1F-73222F1C3BAA</t>
  </si>
  <si>
    <t>Sản phẩm điện lạnh</t>
  </si>
  <si>
    <t>Column</t>
  </si>
  <si>
    <t>Type</t>
  </si>
  <si>
    <t>ProductId</t>
  </si>
  <si>
    <t>ID mặt hàng</t>
  </si>
  <si>
    <t>uniqueidentifier</t>
  </si>
  <si>
    <t>CategoryId</t>
  </si>
  <si>
    <t>ProductName</t>
  </si>
  <si>
    <t>Tên mặt hàng</t>
  </si>
  <si>
    <t>Nvarchar(100)</t>
  </si>
  <si>
    <t>CategoryName</t>
  </si>
  <si>
    <t>May mặc, dân dụng, 
điện tử, thực phẩm...</t>
  </si>
  <si>
    <t>Price</t>
  </si>
  <si>
    <t xml:space="preserve">Giá </t>
  </si>
  <si>
    <t>Decimal(18,0)</t>
  </si>
  <si>
    <t>Khóa Chính</t>
  </si>
  <si>
    <t>ManufactoringDate</t>
  </si>
  <si>
    <t>Ngày sản xuất</t>
  </si>
  <si>
    <t>Datetime</t>
  </si>
  <si>
    <t>Status</t>
  </si>
  <si>
    <t>Trạng thái (0: không hoạt động, 1: hoạt động). Default: 1</t>
  </si>
  <si>
    <t>tinyInt</t>
  </si>
  <si>
    <t>CreatedDate</t>
  </si>
  <si>
    <t>Ngày tạo. Default SYSDATE</t>
  </si>
  <si>
    <t>Khóa Ngoại</t>
  </si>
  <si>
    <t>Description</t>
  </si>
  <si>
    <t>Mô Tả</t>
  </si>
  <si>
    <t>Nvarchar(1000)</t>
  </si>
  <si>
    <t>Trạng thái (0: không hoạt động, 1: Còn hàng, 2:Hết hàng). Default: 1</t>
  </si>
  <si>
    <t>Quantity</t>
  </si>
  <si>
    <t>Số lượng hàng còn trong kho</t>
  </si>
  <si>
    <t>Int</t>
  </si>
  <si>
    <t>Loại hàng</t>
  </si>
  <si>
    <t>UserId</t>
  </si>
  <si>
    <t>ID Nhân viên</t>
  </si>
  <si>
    <t>UserName</t>
  </si>
  <si>
    <t>Username đăng nhập</t>
  </si>
  <si>
    <t>nvarchar(50)</t>
  </si>
  <si>
    <t>Password</t>
  </si>
  <si>
    <t>Mật khẩu</t>
  </si>
  <si>
    <t>Email</t>
  </si>
  <si>
    <t>Mobile</t>
  </si>
  <si>
    <t>Điện thoại</t>
  </si>
  <si>
    <t>Ti vi</t>
  </si>
  <si>
    <t>Tủ lạnh</t>
  </si>
  <si>
    <t>Điều hòa</t>
  </si>
  <si>
    <t>Laptop</t>
  </si>
  <si>
    <t>Ô tô</t>
  </si>
  <si>
    <t>Xe máy</t>
  </si>
  <si>
    <t>Trần Văn Tuấn</t>
  </si>
  <si>
    <t>tuantv@gmail.com</t>
  </si>
  <si>
    <t>Nguyễn Thu Huyền</t>
  </si>
  <si>
    <t>huyennt@gmail.com</t>
  </si>
  <si>
    <t>0961399999</t>
  </si>
  <si>
    <t>0961388888</t>
  </si>
  <si>
    <t>TagId</t>
  </si>
  <si>
    <t>TagName</t>
  </si>
  <si>
    <t>ID Tag</t>
  </si>
  <si>
    <t>Tên Tag</t>
  </si>
  <si>
    <t>nvarchar(100)</t>
  </si>
  <si>
    <t>TagsProducts</t>
  </si>
  <si>
    <t>TagProductId</t>
  </si>
  <si>
    <t>Câu</t>
  </si>
  <si>
    <t>Nội dung</t>
  </si>
  <si>
    <t>Lấy ra các sản phẩm có giá &gt;100.000</t>
  </si>
  <si>
    <t>Lấy ra các sản phẩm có giá &gt;100.000 và nhỏ hơn 300.000</t>
  </si>
  <si>
    <t>Lấy ra các sản phẩm có tên bắt đầu là 'i' và sản xuất trước năm 2020</t>
  </si>
  <si>
    <t>Truy vấn trên 1 bảng</t>
  </si>
  <si>
    <t>444F2A54-31AA-464C-811D-7A1E6F706DD0</t>
  </si>
  <si>
    <t>HTC One</t>
  </si>
  <si>
    <t>Sắp xếp các sản phẩm theo ngày sản xuất (manufactoringDate)</t>
  </si>
  <si>
    <t>Sắp xếp các sản phẩm theo ngày tạo (CreatedDate) tăng dần</t>
  </si>
  <si>
    <t>Sắp xếp các sản phẩm theo ngày tạo (CreatedDate) giảm dần  rồi lấy ra 5 sản phẩm đầu tiên</t>
  </si>
  <si>
    <t>Sắp xếp các sản phẩm theo ngày tạo (CreatedDate)  giảm dần rồi lấy ra 5 sản phẩm đầu tiên có giá &gt;100000</t>
  </si>
  <si>
    <t>Phần 1</t>
  </si>
  <si>
    <t>Phần 2</t>
  </si>
  <si>
    <t xml:space="preserve">Truy vấn trên nhiều bảng </t>
  </si>
  <si>
    <t xml:space="preserve">Lấy ra các sản phẩm và tên thể loại của sản phẩm ấy </t>
  </si>
  <si>
    <t>Sắp xếp các sản phẩm theo ngày tạo (CreatedDate)  giảm dần rồi lấy ra 50 % số lượng sản phẩm đầu tiên có giá &gt;100000</t>
  </si>
  <si>
    <t>Lấy ra các sản phẩm thuộc thể loại điều hòa</t>
  </si>
  <si>
    <t>Lấy ra các Sản phẩm điện lạnh bán chạy.</t>
  </si>
  <si>
    <t>Lấy ra các sản phẩm khuyến mại do Trần Văn Tuấn phụ trách.</t>
  </si>
  <si>
    <t>Lấy ra các sản phẩm điện tử đang khuyến mại có giá &gt;100000</t>
  </si>
  <si>
    <t>Lấy ra số lượng sản phẩm điện tử  có giá lớn hơn 100000 do Trần Văn Tuấn phụ trách</t>
  </si>
  <si>
    <t>Lấy ra số lượng các sản phẩm điện lạnh mới nhập về.</t>
  </si>
  <si>
    <t>Lấy ra các sản phẩm có giá cao nhất.</t>
  </si>
  <si>
    <t>Lấy ra các sản phẩm được  tạo gần đây nhất và có giá thấp nhất.</t>
  </si>
  <si>
    <t>Lấy ra các sản phẩm khuyến mại được  tạo gần đây nhất và có giá thấp nhất.</t>
  </si>
  <si>
    <t>Lấy ra giá trung bình của các sản phẩm sản xuất sau năm 2018</t>
  </si>
  <si>
    <t>Lấy ra tổng số lượng các sản phẩm sản xuất trong năm 2019</t>
  </si>
  <si>
    <t>Lấy ra các sản phẩm điện máy bán chạy có số lượng trong kho nhiều nhất</t>
  </si>
  <si>
    <t>Lấy ra các sản phẩm mới, bán chạy có tên chứa ký tư 'o'</t>
  </si>
  <si>
    <t>Phần 3</t>
  </si>
  <si>
    <t>Truy vấn lồng</t>
  </si>
  <si>
    <t>Lấy ra các sản phẩm điện tử, đang khuyến mại và bán chạy.</t>
  </si>
  <si>
    <t>Lấy ra các sản phẩm điện lạnh bán chạy có số lượng &gt;100 .</t>
  </si>
  <si>
    <t>Lấy ra các sản phẩm ti vi đang khuyến mại có giá &gt;100000</t>
  </si>
  <si>
    <t>Lấy ra các sản phẩm điện thoại đang khuyến mại và bán chạy có giá thấp nhất</t>
  </si>
  <si>
    <t>Lấy ra các sản phẩm điện tử bán chạy đang được khuyến mại do Nguyễn Thu Huyền quản lý</t>
  </si>
  <si>
    <t>Lấy ra các sản phẩm, tên thể loại của sản phẩm ấy và tên người phụ trách sản phẩm ấy tạo ra 1 bảng mới(vật lý) để chứa dữ liệu này</t>
  </si>
  <si>
    <t>Lấy ra các sản phẩm tủ lạnh do Nguyễn Thu Huyền phụ trách   tạo ra 1 bảng mới(vật lý) để chứa dữ liệu này</t>
  </si>
  <si>
    <t>Lấy ra các sản phẩm điện thoại có giá &gt;100000, được sản xuất trước năm 2020, sau đó sắp xếp theo ngày tạo tăng dần, tạo ra 1 bảng mới(vật lý) để chứa dữ liệu này.</t>
  </si>
  <si>
    <t>Trạng thái (0: không hoạt động, 1: admin, 2: operator</t>
  </si>
  <si>
    <t>ID Danh mục sản phẩm</t>
  </si>
  <si>
    <t>Products (Sản phẩm)</t>
  </si>
  <si>
    <t>Categories (Danh mục sản phẩm)</t>
  </si>
  <si>
    <t>Tags (tag sản phẩm)</t>
  </si>
  <si>
    <t>Users (Người dùng)</t>
  </si>
  <si>
    <t>CỚ SỞ DỮ LIỆU ỨNG DỤNG QUẢN LÝ KHO</t>
  </si>
  <si>
    <t xml:space="preserve">Ngày tạo. </t>
  </si>
  <si>
    <t>Lấy ra các sản phẩm có tên chứa chữ 'đ'  và có giá trong khoảng 100000 đến 200000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</si>
</sst>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6">
    <xf numFmtId="0" fontId="0" fillId="0" borderId="0" xfId="0"/>
    <xf numFmtId="0" fontId="0" fillId="0" borderId="10" xfId="0" applyBorder="1"/>
    <xf numFmtId="0" fontId="0" fillId="0" borderId="0" xfId="0" applyAlignment="1">
      <alignment horizontal="center" vertical="center"/>
    </xf>
    <xf numFmtId="0" fontId="18" fillId="34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left" vertical="center"/>
    </xf>
    <xf numFmtId="0" fontId="13" fillId="38" borderId="1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3" borderId="10" xfId="0" applyFill="1" applyBorder="1" applyAlignment="1">
      <alignment horizontal="left" vertical="center"/>
    </xf>
    <xf numFmtId="0" fontId="19" fillId="34" borderId="10" xfId="0" applyFont="1" applyFill="1" applyBorder="1" applyAlignment="1">
      <alignment horizontal="center" vertical="center" wrapText="1"/>
    </xf>
    <xf numFmtId="14" fontId="19" fillId="34" borderId="10" xfId="0" applyNumberFormat="1" applyFont="1" applyFill="1" applyBorder="1" applyAlignment="1">
      <alignment horizontal="center" vertical="center" wrapText="1"/>
    </xf>
    <xf numFmtId="0" fontId="22" fillId="34" borderId="10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0" borderId="11" xfId="0" applyFont="1" applyBorder="1" applyAlignment="1">
      <alignment horizontal="left"/>
    </xf>
    <xf numFmtId="0" fontId="23" fillId="0" borderId="11" xfId="0" applyFont="1" applyBorder="1" applyAlignment="1">
      <alignment horizontal="center"/>
    </xf>
    <xf numFmtId="14" fontId="23" fillId="0" borderId="11" xfId="0" applyNumberFormat="1" applyFont="1" applyBorder="1" applyAlignment="1">
      <alignment horizontal="center"/>
    </xf>
    <xf numFmtId="0" fontId="23" fillId="37" borderId="11" xfId="0" applyFont="1" applyFill="1" applyBorder="1" applyAlignment="1">
      <alignment horizontal="center"/>
    </xf>
    <xf numFmtId="0" fontId="23" fillId="0" borderId="0" xfId="0" applyFont="1" applyAlignment="1">
      <alignment horizontal="center"/>
    </xf>
    <xf numFmtId="0" fontId="23" fillId="0" borderId="10" xfId="0" applyFont="1" applyBorder="1" applyAlignment="1">
      <alignment horizontal="left"/>
    </xf>
    <xf numFmtId="0" fontId="23" fillId="0" borderId="10" xfId="0" applyFont="1" applyBorder="1" applyAlignment="1">
      <alignment horizontal="center"/>
    </xf>
    <xf numFmtId="14" fontId="23" fillId="0" borderId="10" xfId="0" applyNumberFormat="1" applyFont="1" applyBorder="1" applyAlignment="1">
      <alignment horizontal="center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center"/>
    </xf>
    <xf numFmtId="0" fontId="19" fillId="38" borderId="10" xfId="0" applyFont="1" applyFill="1" applyBorder="1" applyAlignment="1">
      <alignment horizontal="center"/>
    </xf>
    <xf numFmtId="0" fontId="23" fillId="0" borderId="0" xfId="0" applyFont="1"/>
    <xf numFmtId="0" fontId="23" fillId="33" borderId="10" xfId="0" applyFont="1" applyFill="1" applyBorder="1"/>
    <xf numFmtId="0" fontId="23" fillId="0" borderId="10" xfId="0" applyFont="1" applyBorder="1"/>
    <xf numFmtId="14" fontId="23" fillId="0" borderId="10" xfId="0" applyNumberFormat="1" applyFont="1" applyBorder="1"/>
    <xf numFmtId="0" fontId="23" fillId="0" borderId="10" xfId="0" quotePrefix="1" applyFont="1" applyBorder="1"/>
    <xf numFmtId="0" fontId="21" fillId="0" borderId="0" xfId="0" applyFont="1"/>
    <xf numFmtId="0" fontId="20" fillId="0" borderId="0" xfId="0" applyFont="1" applyAlignment="1">
      <alignment horizontal="center" vertical="center" wrapText="1"/>
    </xf>
    <xf numFmtId="0" fontId="24" fillId="35" borderId="10" xfId="0" applyFont="1" applyFill="1" applyBorder="1"/>
    <xf numFmtId="0" fontId="24" fillId="0" borderId="0" xfId="0" applyFont="1"/>
    <xf numFmtId="0" fontId="24" fillId="35" borderId="10" xfId="0" applyFont="1" applyFill="1" applyBorder="1" applyAlignment="1">
      <alignment horizontal="center" vertical="center"/>
    </xf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 applyAlignment="1">
      <alignment horizontal="center" vertical="center"/>
    </xf>
    <xf numFmtId="0" fontId="24" fillId="0" borderId="10" xfId="0" applyFont="1" applyBorder="1"/>
    <xf numFmtId="0" fontId="21" fillId="36" borderId="10" xfId="0" applyFont="1" applyFill="1" applyBorder="1"/>
    <xf numFmtId="0" fontId="21" fillId="0" borderId="10" xfId="0" applyFont="1" applyBorder="1" applyAlignment="1">
      <alignment vertical="center"/>
    </xf>
    <xf numFmtId="0" fontId="21" fillId="0" borderId="10" xfId="0" applyFont="1" applyBorder="1" applyAlignment="1">
      <alignment horizontal="left" vertical="center" wrapText="1"/>
    </xf>
    <xf numFmtId="0" fontId="21" fillId="0" borderId="0" xfId="0" applyFont="1" applyAlignment="1">
      <alignment vertical="center"/>
    </xf>
    <xf numFmtId="0" fontId="0" fillId="39" borderId="10" xfId="0" applyFill="1" applyBorder="1" applyAlignment="1">
      <alignment horizontal="left" vertical="center"/>
    </xf>
    <xf numFmtId="0" fontId="0" fillId="40" borderId="10" xfId="0" applyFill="1" applyBorder="1" applyAlignment="1">
      <alignment horizontal="left" vertical="center"/>
    </xf>
    <xf numFmtId="0" fontId="0" fillId="40" borderId="10" xfId="0" applyFill="1" applyBorder="1" applyAlignment="1">
      <alignment horizontal="left" vertical="center" wrapText="1"/>
    </xf>
    <xf numFmtId="0" fontId="0" fillId="40" borderId="10" xfId="0" applyFill="1" applyBorder="1"/>
    <xf numFmtId="0" fontId="0" fillId="39" borderId="10" xfId="0" applyFill="1" applyBorder="1" applyAlignment="1">
      <alignment horizontal="center" vertical="center"/>
    </xf>
    <xf numFmtId="0" fontId="0" fillId="39" borderId="0" xfId="0" applyFill="1" applyAlignment="1">
      <alignment horizontal="center" vertical="center"/>
    </xf>
    <xf numFmtId="0" fontId="20" fillId="34" borderId="12" xfId="0" applyFont="1" applyFill="1" applyBorder="1" applyAlignment="1">
      <alignment horizontal="center" vertical="center" wrapText="1"/>
    </xf>
    <xf numFmtId="0" fontId="20" fillId="34" borderId="13" xfId="0" applyFont="1" applyFill="1" applyBorder="1" applyAlignment="1">
      <alignment horizontal="center" vertical="center" wrapText="1"/>
    </xf>
    <xf numFmtId="0" fontId="20" fillId="34" borderId="14" xfId="0" applyFont="1" applyFill="1" applyBorder="1" applyAlignment="1">
      <alignment horizontal="center" vertical="center" wrapText="1"/>
    </xf>
    <xf numFmtId="0" fontId="25" fillId="34" borderId="12" xfId="0" applyFont="1" applyFill="1" applyBorder="1" applyAlignment="1">
      <alignment horizontal="center" vertical="center" wrapText="1"/>
    </xf>
    <xf numFmtId="0" fontId="25" fillId="34" borderId="13" xfId="0" applyFont="1" applyFill="1" applyBorder="1" applyAlignment="1">
      <alignment horizontal="center" vertical="center" wrapText="1"/>
    </xf>
    <xf numFmtId="0" fontId="21" fillId="0" borderId="10" xfId="0" applyFont="1" applyBorder="1" applyAlignment="1">
      <alignment horizontal="left" vertical="center"/>
    </xf>
    <xf numFmtId="0" fontId="21" fillId="0" borderId="10" xfId="0" applyFont="1" applyBorder="1" applyAlignment="1">
      <alignment vertical="center" wrapText="1"/>
    </xf>
    <xf numFmtId="0" fontId="21" fillId="0" borderId="10" xfId="0" applyFont="1" applyBorder="1" applyAlignment="1">
      <alignment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ill>
        <patternFill patternType="solid">
          <fgColor theme="5"/>
          <bgColor theme="4" tint="0.59996337778862885"/>
        </patternFill>
      </fill>
    </dxf>
    <dxf>
      <fill>
        <patternFill patternType="solid">
          <fgColor theme="5"/>
          <bgColor theme="4" tint="0.39994506668294322"/>
        </patternFill>
      </fill>
    </dxf>
    <dxf>
      <fill>
        <patternFill patternType="lightUp">
          <fgColor theme="5"/>
        </patternFill>
      </fill>
    </dxf>
    <dxf>
      <fill>
        <patternFill patternType="lightDown">
          <fgColor theme="5"/>
        </patternFill>
      </fill>
    </dxf>
    <dxf>
      <fill>
        <patternFill patternType="lightUp">
          <fgColor theme="5"/>
        </patternFill>
      </fill>
    </dxf>
    <dxf>
      <fill>
        <patternFill patternType="lightDown">
          <fgColor theme="5"/>
        </patternFill>
      </fill>
    </dxf>
    <dxf>
      <fill>
        <patternFill patternType="lightUp">
          <fgColor theme="5"/>
        </patternFill>
      </fill>
    </dxf>
    <dxf>
      <fill>
        <patternFill patternType="lightDown">
          <f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1210236</xdr:colOff>
      <xdr:row>4</xdr:row>
      <xdr:rowOff>123265</xdr:rowOff>
    </xdr:from>
    <xdr:to>
      <xdr:col>7</xdr:col>
      <xdr:colOff>22412</xdr:colOff>
      <xdr:row>11</xdr:row>
      <xdr:rowOff>112059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5658971" y="1143000"/>
          <a:ext cx="2353235" cy="1994647"/>
        </a:xfrm>
        <a:prstGeom prst="straightConnector1">
          <a:avLst/>
        </a:prstGeom>
        <a:ln w="28575">
          <a:solidFill>
            <a:schemeClr val="accent1">
              <a:lumMod val="50000"/>
            </a:schemeClr>
          </a:solidFill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795619</xdr:colOff>
      <xdr:row>4</xdr:row>
      <xdr:rowOff>112059</xdr:rowOff>
    </xdr:from>
    <xdr:to>
      <xdr:col>2</xdr:col>
      <xdr:colOff>1120589</xdr:colOff>
      <xdr:row>20</xdr:row>
      <xdr:rowOff>89647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2005854" y="1053353"/>
          <a:ext cx="324970" cy="3249706"/>
        </a:xfrm>
        <a:prstGeom prst="straightConnector1">
          <a:avLst/>
        </a:prstGeom>
        <a:ln w="28575">
          <a:solidFill>
            <a:schemeClr val="accent1">
              <a:lumMod val="50000"/>
            </a:schemeClr>
          </a:solidFill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1221442</xdr:colOff>
      <xdr:row>12</xdr:row>
      <xdr:rowOff>89649</xdr:rowOff>
    </xdr:from>
    <xdr:to>
      <xdr:col>7</xdr:col>
      <xdr:colOff>44824</xdr:colOff>
      <xdr:row>21</xdr:row>
      <xdr:rowOff>112059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 flipV="1">
          <a:off x="5670177" y="3294531"/>
          <a:ext cx="2364441" cy="2039469"/>
        </a:xfrm>
        <a:prstGeom prst="straightConnector1">
          <a:avLst/>
        </a:prstGeom>
        <a:ln w="28575">
          <a:solidFill>
            <a:schemeClr val="accent1">
              <a:lumMod val="50000"/>
            </a:schemeClr>
          </a:solidFill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930090</xdr:colOff>
      <xdr:row>15</xdr:row>
      <xdr:rowOff>123265</xdr:rowOff>
    </xdr:from>
    <xdr:to>
      <xdr:col>7</xdr:col>
      <xdr:colOff>44824</xdr:colOff>
      <xdr:row>22</xdr:row>
      <xdr:rowOff>134470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H="1">
          <a:off x="5378825" y="4000500"/>
          <a:ext cx="2655793" cy="1580029"/>
        </a:xfrm>
        <a:prstGeom prst="straightConnector1">
          <a:avLst/>
        </a:prstGeom>
        <a:ln w="28575">
          <a:solidFill>
            <a:schemeClr val="accent1">
              <a:lumMod val="50000"/>
            </a:schemeClr>
          </a:solidFill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C1:M29"/>
  <sheetViews>
    <sheetView zoomScale="85" zoomScaleNormal="85" workbookViewId="0">
      <selection activeCell="F30" sqref="F30"/>
    </sheetView>
  </sheetViews>
  <sheetFormatPr defaultColWidth="9.109375" defaultRowHeight="17.399999999999999" x14ac:dyDescent="0.35"/>
  <cols>
    <col min="1" max="2" width="9.109375" style="29"/>
    <col min="3" max="3" width="21.88671875" style="29" customWidth="1"/>
    <col min="4" max="4" width="26.6640625" style="29" customWidth="1"/>
    <col min="5" max="5" width="18.88671875" style="29" bestFit="1" customWidth="1"/>
    <col min="6" max="7" width="17.109375" style="29" customWidth="1"/>
    <col min="8" max="8" width="16.109375" style="29" customWidth="1"/>
    <col min="9" max="9" width="29.88671875" style="29" customWidth="1"/>
    <col min="10" max="10" width="18.88671875" style="29" bestFit="1" customWidth="1"/>
    <col min="11" max="11" width="9.109375" style="29"/>
    <col min="12" max="13" width="26.33203125" style="29" customWidth="1"/>
    <col min="14" max="14" width="18.88671875" style="29" customWidth="1"/>
    <col min="15" max="16384" width="9.109375" style="29"/>
  </cols>
  <sheetData>
    <row r="1" spans="3:13" ht="27" customHeight="1" x14ac:dyDescent="0.35">
      <c r="C1" s="51" t="s">
        <v>210</v>
      </c>
      <c r="D1" s="52"/>
      <c r="E1" s="52"/>
      <c r="F1" s="52"/>
      <c r="G1" s="52"/>
      <c r="H1" s="52"/>
      <c r="I1" s="52"/>
      <c r="J1" s="52"/>
    </row>
    <row r="3" spans="3:13" x14ac:dyDescent="0.35">
      <c r="C3" s="48" t="s">
        <v>206</v>
      </c>
      <c r="D3" s="49"/>
      <c r="E3" s="50"/>
      <c r="F3" s="30"/>
      <c r="G3" s="30"/>
      <c r="H3" s="48" t="s">
        <v>207</v>
      </c>
      <c r="I3" s="49"/>
      <c r="J3" s="50"/>
    </row>
    <row r="4" spans="3:13" x14ac:dyDescent="0.35">
      <c r="C4" s="31" t="s">
        <v>103</v>
      </c>
      <c r="D4" s="31"/>
      <c r="E4" s="31" t="s">
        <v>104</v>
      </c>
      <c r="F4" s="32"/>
      <c r="G4" s="32"/>
      <c r="H4" s="33" t="s">
        <v>103</v>
      </c>
      <c r="I4" s="31"/>
      <c r="J4" s="31" t="s">
        <v>104</v>
      </c>
    </row>
    <row r="5" spans="3:13" x14ac:dyDescent="0.35">
      <c r="C5" s="34" t="s">
        <v>105</v>
      </c>
      <c r="D5" s="34" t="s">
        <v>106</v>
      </c>
      <c r="E5" s="34" t="s">
        <v>107</v>
      </c>
      <c r="G5" s="29">
        <v>1</v>
      </c>
      <c r="H5" s="34" t="s">
        <v>108</v>
      </c>
      <c r="I5" s="34" t="s">
        <v>205</v>
      </c>
      <c r="J5" s="34" t="s">
        <v>107</v>
      </c>
    </row>
    <row r="6" spans="3:13" x14ac:dyDescent="0.35">
      <c r="C6" s="35" t="s">
        <v>109</v>
      </c>
      <c r="D6" s="35" t="s">
        <v>110</v>
      </c>
      <c r="E6" s="35" t="s">
        <v>111</v>
      </c>
      <c r="H6" s="53" t="s">
        <v>112</v>
      </c>
      <c r="I6" s="54" t="s">
        <v>113</v>
      </c>
      <c r="J6" s="53" t="s">
        <v>111</v>
      </c>
    </row>
    <row r="7" spans="3:13" x14ac:dyDescent="0.35">
      <c r="C7" s="35" t="s">
        <v>114</v>
      </c>
      <c r="D7" s="35" t="s">
        <v>115</v>
      </c>
      <c r="E7" s="35" t="s">
        <v>116</v>
      </c>
      <c r="H7" s="53"/>
      <c r="I7" s="55"/>
      <c r="J7" s="53"/>
      <c r="M7" s="36" t="s">
        <v>117</v>
      </c>
    </row>
    <row r="8" spans="3:13" x14ac:dyDescent="0.35">
      <c r="C8" s="35" t="s">
        <v>118</v>
      </c>
      <c r="D8" s="35" t="s">
        <v>119</v>
      </c>
      <c r="E8" s="35" t="s">
        <v>120</v>
      </c>
      <c r="H8" s="35" t="s">
        <v>121</v>
      </c>
      <c r="I8" s="35" t="s">
        <v>122</v>
      </c>
      <c r="J8" s="35" t="s">
        <v>123</v>
      </c>
      <c r="M8" s="36"/>
    </row>
    <row r="9" spans="3:13" x14ac:dyDescent="0.35">
      <c r="C9" s="35" t="s">
        <v>124</v>
      </c>
      <c r="D9" s="35" t="s">
        <v>125</v>
      </c>
      <c r="E9" s="35" t="s">
        <v>120</v>
      </c>
      <c r="H9" s="35" t="s">
        <v>124</v>
      </c>
      <c r="I9" s="35" t="s">
        <v>211</v>
      </c>
      <c r="J9" s="35" t="s">
        <v>120</v>
      </c>
      <c r="M9" s="36" t="s">
        <v>126</v>
      </c>
    </row>
    <row r="10" spans="3:13" x14ac:dyDescent="0.35">
      <c r="C10" s="37" t="s">
        <v>127</v>
      </c>
      <c r="D10" s="37" t="s">
        <v>128</v>
      </c>
      <c r="E10" s="37" t="s">
        <v>129</v>
      </c>
      <c r="F10" s="32"/>
      <c r="G10" s="32"/>
    </row>
    <row r="11" spans="3:13" ht="52.2" x14ac:dyDescent="0.35">
      <c r="C11" s="39" t="s">
        <v>121</v>
      </c>
      <c r="D11" s="40" t="s">
        <v>130</v>
      </c>
      <c r="E11" s="39" t="s">
        <v>123</v>
      </c>
      <c r="F11" s="41"/>
      <c r="G11" s="41"/>
    </row>
    <row r="12" spans="3:13" ht="14.25" customHeight="1" x14ac:dyDescent="0.35">
      <c r="C12" s="38" t="s">
        <v>108</v>
      </c>
      <c r="D12" s="38" t="s">
        <v>134</v>
      </c>
      <c r="E12" s="38" t="s">
        <v>107</v>
      </c>
    </row>
    <row r="13" spans="3:13" x14ac:dyDescent="0.35">
      <c r="C13" s="38" t="s">
        <v>135</v>
      </c>
      <c r="D13" s="38" t="s">
        <v>136</v>
      </c>
      <c r="E13" s="38" t="s">
        <v>107</v>
      </c>
    </row>
    <row r="14" spans="3:13" x14ac:dyDescent="0.35">
      <c r="C14" s="35" t="s">
        <v>131</v>
      </c>
      <c r="D14" s="35" t="s">
        <v>132</v>
      </c>
      <c r="E14" s="35" t="s">
        <v>133</v>
      </c>
      <c r="H14" s="48" t="s">
        <v>208</v>
      </c>
      <c r="I14" s="49"/>
      <c r="J14" s="50"/>
    </row>
    <row r="15" spans="3:13" x14ac:dyDescent="0.35">
      <c r="H15" s="31" t="s">
        <v>103</v>
      </c>
      <c r="I15" s="31"/>
      <c r="J15" s="31" t="s">
        <v>104</v>
      </c>
    </row>
    <row r="16" spans="3:13" x14ac:dyDescent="0.35">
      <c r="H16" s="34" t="s">
        <v>157</v>
      </c>
      <c r="I16" s="34" t="s">
        <v>159</v>
      </c>
      <c r="J16" s="34" t="s">
        <v>107</v>
      </c>
    </row>
    <row r="17" spans="3:10" x14ac:dyDescent="0.35">
      <c r="H17" s="35" t="s">
        <v>158</v>
      </c>
      <c r="I17" s="35" t="s">
        <v>160</v>
      </c>
      <c r="J17" s="35" t="s">
        <v>161</v>
      </c>
    </row>
    <row r="19" spans="3:10" x14ac:dyDescent="0.35">
      <c r="C19" s="48" t="s">
        <v>162</v>
      </c>
      <c r="D19" s="49"/>
      <c r="E19" s="50"/>
      <c r="F19" s="30"/>
      <c r="G19" s="30"/>
    </row>
    <row r="20" spans="3:10" x14ac:dyDescent="0.35">
      <c r="C20" s="31" t="s">
        <v>103</v>
      </c>
      <c r="D20" s="31"/>
      <c r="E20" s="31" t="s">
        <v>104</v>
      </c>
      <c r="F20" s="32"/>
      <c r="G20" s="32"/>
      <c r="H20" s="48" t="s">
        <v>209</v>
      </c>
      <c r="I20" s="49"/>
      <c r="J20" s="50"/>
    </row>
    <row r="21" spans="3:10" x14ac:dyDescent="0.35">
      <c r="C21" s="34" t="s">
        <v>163</v>
      </c>
      <c r="D21" s="34" t="s">
        <v>159</v>
      </c>
      <c r="E21" s="34" t="s">
        <v>107</v>
      </c>
      <c r="H21" s="31" t="s">
        <v>103</v>
      </c>
      <c r="I21" s="31"/>
      <c r="J21" s="31" t="s">
        <v>104</v>
      </c>
    </row>
    <row r="22" spans="3:10" x14ac:dyDescent="0.35">
      <c r="C22" s="38" t="s">
        <v>105</v>
      </c>
      <c r="D22" s="38" t="s">
        <v>106</v>
      </c>
      <c r="E22" s="38" t="s">
        <v>107</v>
      </c>
      <c r="H22" s="34" t="s">
        <v>135</v>
      </c>
      <c r="I22" s="34" t="s">
        <v>136</v>
      </c>
      <c r="J22" s="34" t="s">
        <v>107</v>
      </c>
    </row>
    <row r="23" spans="3:10" x14ac:dyDescent="0.35">
      <c r="C23" s="38" t="s">
        <v>157</v>
      </c>
      <c r="D23" s="38" t="s">
        <v>159</v>
      </c>
      <c r="E23" s="38" t="s">
        <v>107</v>
      </c>
      <c r="H23" s="35" t="s">
        <v>137</v>
      </c>
      <c r="I23" s="35" t="s">
        <v>138</v>
      </c>
      <c r="J23" s="35" t="s">
        <v>139</v>
      </c>
    </row>
    <row r="24" spans="3:10" x14ac:dyDescent="0.35">
      <c r="H24" s="35" t="s">
        <v>140</v>
      </c>
      <c r="I24" s="35" t="s">
        <v>141</v>
      </c>
      <c r="J24" s="35" t="s">
        <v>139</v>
      </c>
    </row>
    <row r="25" spans="3:10" x14ac:dyDescent="0.35">
      <c r="H25" s="35" t="s">
        <v>142</v>
      </c>
      <c r="I25" s="35" t="s">
        <v>142</v>
      </c>
      <c r="J25" s="35" t="s">
        <v>139</v>
      </c>
    </row>
    <row r="26" spans="3:10" x14ac:dyDescent="0.35">
      <c r="H26" s="35" t="s">
        <v>143</v>
      </c>
      <c r="I26" s="35" t="s">
        <v>143</v>
      </c>
      <c r="J26" s="35" t="s">
        <v>139</v>
      </c>
    </row>
    <row r="27" spans="3:10" x14ac:dyDescent="0.35">
      <c r="H27" s="35" t="s">
        <v>121</v>
      </c>
      <c r="I27" s="35" t="s">
        <v>204</v>
      </c>
      <c r="J27" s="35" t="s">
        <v>123</v>
      </c>
    </row>
    <row r="28" spans="3:10" x14ac:dyDescent="0.35">
      <c r="H28" s="35" t="s">
        <v>124</v>
      </c>
      <c r="I28" s="35" t="s">
        <v>211</v>
      </c>
      <c r="J28" s="35" t="s">
        <v>120</v>
      </c>
    </row>
    <row r="29" spans="3:10" ht="14.25" customHeight="1" x14ac:dyDescent="0.35"/>
  </sheetData>
  <mergeCells count="9">
    <mergeCell ref="H20:J20"/>
    <mergeCell ref="C1:J1"/>
    <mergeCell ref="C3:E3"/>
    <mergeCell ref="H3:J3"/>
    <mergeCell ref="H6:H7"/>
    <mergeCell ref="I6:I7"/>
    <mergeCell ref="J6:J7"/>
    <mergeCell ref="H14:J14"/>
    <mergeCell ref="C19:E19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C000"/>
  </sheetPr>
  <dimension ref="A1:Q45"/>
  <sheetViews>
    <sheetView zoomScale="85" zoomScaleNormal="85" workbookViewId="0">
      <pane xSplit="2" ySplit="1" topLeftCell="F2" activePane="bottomRight" state="frozen"/>
      <selection activeCell="B1" sqref="B1"/>
      <selection pane="topRight" activeCell="C1" sqref="C1"/>
      <selection pane="bottomLeft" activeCell="B2" sqref="B2"/>
      <selection pane="bottomRight" activeCell="I8" sqref="I8"/>
    </sheetView>
  </sheetViews>
  <sheetFormatPr defaultColWidth="9.109375" defaultRowHeight="18" x14ac:dyDescent="0.35"/>
  <cols>
    <col min="1" max="1" width="43.44140625" style="21" customWidth="1"/>
    <col min="2" max="2" width="20.33203125" style="21" customWidth="1"/>
    <col min="3" max="3" width="10.33203125" style="17" customWidth="1"/>
    <col min="4" max="4" width="29.5546875" style="22" bestFit="1" customWidth="1"/>
    <col min="5" max="5" width="21" style="22" bestFit="1" customWidth="1"/>
    <col min="6" max="6" width="19.88671875" style="17" bestFit="1" customWidth="1"/>
    <col min="7" max="7" width="13.6640625" style="17" bestFit="1" customWidth="1"/>
    <col min="8" max="8" width="53" style="17" bestFit="1" customWidth="1"/>
    <col min="9" max="9" width="52.88671875" style="17" bestFit="1" customWidth="1"/>
    <col min="10" max="10" width="10.109375" style="17" bestFit="1" customWidth="1"/>
    <col min="11" max="11" width="23.5546875" style="17" hidden="1" customWidth="1"/>
    <col min="12" max="12" width="28" style="17" hidden="1" customWidth="1"/>
    <col min="13" max="13" width="26.109375" style="17" hidden="1" customWidth="1"/>
    <col min="14" max="14" width="30.6640625" style="17" hidden="1" customWidth="1"/>
    <col min="15" max="15" width="28.5546875" style="17" hidden="1" customWidth="1"/>
    <col min="16" max="16" width="22.5546875" style="17" hidden="1" customWidth="1"/>
    <col min="17" max="17" width="19" style="17" hidden="1" customWidth="1"/>
    <col min="18" max="16384" width="9.109375" style="17"/>
  </cols>
  <sheetData>
    <row r="1" spans="1:17" s="12" customFormat="1" ht="36" x14ac:dyDescent="0.3">
      <c r="A1" s="9" t="str">
        <f>DB!C5</f>
        <v>ProductId</v>
      </c>
      <c r="B1" s="9" t="str">
        <f>DB!C6</f>
        <v>ProductName</v>
      </c>
      <c r="C1" s="9" t="str">
        <f>DB!C7</f>
        <v>Price</v>
      </c>
      <c r="D1" s="10" t="str">
        <f>DB!C8</f>
        <v>ManufactoringDate</v>
      </c>
      <c r="E1" s="10" t="str">
        <f>DB!C9</f>
        <v>CreatedDate</v>
      </c>
      <c r="F1" s="9" t="str">
        <f>DB!C10</f>
        <v>Description</v>
      </c>
      <c r="G1" s="9" t="str">
        <f>DB!C11</f>
        <v>Status</v>
      </c>
      <c r="H1" s="9" t="str">
        <f>DB!C12</f>
        <v>CategoryId</v>
      </c>
      <c r="I1" s="9" t="str">
        <f>DB!C13</f>
        <v>UserId</v>
      </c>
      <c r="J1" s="9" t="str">
        <f>DB!C14</f>
        <v>Quantity</v>
      </c>
      <c r="K1" s="9" t="str">
        <f>Tags!B3</f>
        <v>Sản phẩm mới</v>
      </c>
      <c r="L1" s="11" t="str">
        <f>Tags!B5</f>
        <v>Sản phẩm bán chạy</v>
      </c>
      <c r="M1" s="11" t="str">
        <f>Tags!B2</f>
        <v>Sản phẩm điện tử</v>
      </c>
      <c r="N1" s="11" t="str">
        <f>Tags!B4</f>
        <v>Sản phẩm khuyến mại</v>
      </c>
      <c r="O1" s="11" t="str">
        <f>Tags!B6</f>
        <v>Sản phẩm điện lạnh</v>
      </c>
      <c r="P1" s="11" t="s">
        <v>137</v>
      </c>
      <c r="Q1" s="11" t="s">
        <v>112</v>
      </c>
    </row>
    <row r="2" spans="1:17" x14ac:dyDescent="0.35">
      <c r="A2" s="13" t="s">
        <v>0</v>
      </c>
      <c r="B2" s="13" t="s">
        <v>1</v>
      </c>
      <c r="C2" s="14">
        <v>300000</v>
      </c>
      <c r="D2" s="15">
        <v>43863</v>
      </c>
      <c r="E2" s="15">
        <v>44014.67560396991</v>
      </c>
      <c r="F2" s="14"/>
      <c r="G2" s="14">
        <v>1</v>
      </c>
      <c r="H2" s="14" t="s">
        <v>2</v>
      </c>
      <c r="I2" s="14" t="s">
        <v>3</v>
      </c>
      <c r="J2" s="14">
        <v>300</v>
      </c>
      <c r="K2" s="16" t="str">
        <f>$K$1</f>
        <v>Sản phẩm mới</v>
      </c>
      <c r="L2" s="14"/>
      <c r="M2" s="14"/>
      <c r="N2" s="14"/>
      <c r="O2" s="14" t="str">
        <f>$O$1</f>
        <v>Sản phẩm điện lạnh</v>
      </c>
      <c r="P2" s="19" t="str">
        <f>VLOOKUP(I2,Users!$A$2:$F$3,2,0)</f>
        <v>Trần Văn Tuấn</v>
      </c>
      <c r="Q2" s="19" t="str">
        <f>VLOOKUP(H2,Categories!$A$2:$D$8,2)</f>
        <v>Laptop</v>
      </c>
    </row>
    <row r="3" spans="1:17" x14ac:dyDescent="0.35">
      <c r="A3" s="18" t="s">
        <v>4</v>
      </c>
      <c r="B3" s="18" t="s">
        <v>5</v>
      </c>
      <c r="C3" s="19">
        <v>300000</v>
      </c>
      <c r="D3" s="20">
        <v>43863</v>
      </c>
      <c r="E3" s="20">
        <v>44014.673643553244</v>
      </c>
      <c r="F3" s="19"/>
      <c r="G3" s="19">
        <v>1</v>
      </c>
      <c r="H3" s="19" t="s">
        <v>6</v>
      </c>
      <c r="I3" s="19" t="s">
        <v>7</v>
      </c>
      <c r="J3" s="19">
        <v>300</v>
      </c>
      <c r="K3" s="14" t="str">
        <f t="shared" ref="K3:K15" si="0">$K$1</f>
        <v>Sản phẩm mới</v>
      </c>
      <c r="L3" s="14" t="str">
        <f>$L$1</f>
        <v>Sản phẩm bán chạy</v>
      </c>
      <c r="M3" s="14" t="str">
        <f>$M$1</f>
        <v>Sản phẩm điện tử</v>
      </c>
      <c r="N3" s="14" t="str">
        <f>$N$1</f>
        <v>Sản phẩm khuyến mại</v>
      </c>
      <c r="O3" s="14"/>
      <c r="P3" s="19" t="str">
        <f>VLOOKUP(I3,Users!$A$2:$F$3,2,0)</f>
        <v>Nguyễn Thu Huyền</v>
      </c>
      <c r="Q3" s="19" t="str">
        <f>VLOOKUP(H3,Categories!$A$2:$D$8,2)</f>
        <v>Laptop</v>
      </c>
    </row>
    <row r="4" spans="1:17" x14ac:dyDescent="0.35">
      <c r="A4" s="18" t="s">
        <v>8</v>
      </c>
      <c r="B4" s="18" t="s">
        <v>9</v>
      </c>
      <c r="C4" s="19">
        <v>300000</v>
      </c>
      <c r="D4" s="20">
        <v>43863</v>
      </c>
      <c r="E4" s="20">
        <v>44014.682110104164</v>
      </c>
      <c r="F4" s="19"/>
      <c r="G4" s="19">
        <v>1</v>
      </c>
      <c r="H4" s="19" t="s">
        <v>10</v>
      </c>
      <c r="I4" s="19" t="s">
        <v>7</v>
      </c>
      <c r="J4" s="19">
        <v>300</v>
      </c>
      <c r="K4" s="14" t="str">
        <f t="shared" si="0"/>
        <v>Sản phẩm mới</v>
      </c>
      <c r="L4" s="19"/>
      <c r="M4" s="19"/>
      <c r="N4" s="19"/>
      <c r="O4" s="19"/>
      <c r="P4" s="19" t="str">
        <f>VLOOKUP(I4,Users!$A$2:$F$3,2,0)</f>
        <v>Nguyễn Thu Huyền</v>
      </c>
      <c r="Q4" s="19" t="str">
        <f>VLOOKUP(H4,Categories!$A$2:$D$8,2)</f>
        <v>Ô tô</v>
      </c>
    </row>
    <row r="5" spans="1:17" x14ac:dyDescent="0.35">
      <c r="A5" s="18" t="s">
        <v>11</v>
      </c>
      <c r="B5" s="18" t="s">
        <v>12</v>
      </c>
      <c r="C5" s="19">
        <v>300000</v>
      </c>
      <c r="D5" s="20">
        <v>43863</v>
      </c>
      <c r="E5" s="20">
        <v>44014.676843483794</v>
      </c>
      <c r="F5" s="19"/>
      <c r="G5" s="19">
        <v>1</v>
      </c>
      <c r="H5" s="19" t="s">
        <v>13</v>
      </c>
      <c r="I5" s="19" t="s">
        <v>7</v>
      </c>
      <c r="J5" s="19">
        <v>300</v>
      </c>
      <c r="K5" s="14" t="str">
        <f t="shared" si="0"/>
        <v>Sản phẩm mới</v>
      </c>
      <c r="L5" s="19"/>
      <c r="M5" s="19"/>
      <c r="N5" s="19"/>
      <c r="O5" s="14" t="str">
        <f>$O$1</f>
        <v>Sản phẩm điện lạnh</v>
      </c>
      <c r="P5" s="19" t="str">
        <f>VLOOKUP(I5,Users!$A$2:$F$3,2,0)</f>
        <v>Nguyễn Thu Huyền</v>
      </c>
      <c r="Q5" s="19" t="str">
        <f>VLOOKUP(H5,Categories!$A$2:$D$8,2)</f>
        <v>Điều hòa</v>
      </c>
    </row>
    <row r="6" spans="1:17" x14ac:dyDescent="0.35">
      <c r="A6" s="18" t="s">
        <v>14</v>
      </c>
      <c r="B6" s="18" t="s">
        <v>15</v>
      </c>
      <c r="C6" s="19">
        <v>300000</v>
      </c>
      <c r="D6" s="20">
        <v>43863</v>
      </c>
      <c r="E6" s="20">
        <v>44014.680467013888</v>
      </c>
      <c r="F6" s="19"/>
      <c r="G6" s="19">
        <v>1</v>
      </c>
      <c r="H6" s="19" t="s">
        <v>16</v>
      </c>
      <c r="I6" s="19" t="s">
        <v>3</v>
      </c>
      <c r="J6" s="19">
        <v>300</v>
      </c>
      <c r="K6" s="14" t="str">
        <f t="shared" si="0"/>
        <v>Sản phẩm mới</v>
      </c>
      <c r="L6" s="19"/>
      <c r="M6" s="14" t="str">
        <f>$M$1</f>
        <v>Sản phẩm điện tử</v>
      </c>
      <c r="N6" s="19"/>
      <c r="O6" s="19"/>
      <c r="P6" s="19" t="str">
        <f>VLOOKUP(I6,Users!$A$2:$F$3,2,0)</f>
        <v>Trần Văn Tuấn</v>
      </c>
      <c r="Q6" s="19" t="str">
        <f>VLOOKUP(H6,Categories!$A$2:$D$8,2)</f>
        <v>Laptop</v>
      </c>
    </row>
    <row r="7" spans="1:17" x14ac:dyDescent="0.35">
      <c r="A7" s="18" t="s">
        <v>17</v>
      </c>
      <c r="B7" s="18" t="s">
        <v>18</v>
      </c>
      <c r="C7" s="19">
        <v>300000</v>
      </c>
      <c r="D7" s="20">
        <v>43863</v>
      </c>
      <c r="E7" s="20">
        <v>44014.680355752316</v>
      </c>
      <c r="F7" s="19"/>
      <c r="G7" s="19">
        <v>1</v>
      </c>
      <c r="H7" s="19" t="s">
        <v>16</v>
      </c>
      <c r="I7" s="19" t="s">
        <v>3</v>
      </c>
      <c r="J7" s="19">
        <v>300</v>
      </c>
      <c r="K7" s="14" t="str">
        <f t="shared" si="0"/>
        <v>Sản phẩm mới</v>
      </c>
      <c r="L7" s="14" t="str">
        <f>$L$1</f>
        <v>Sản phẩm bán chạy</v>
      </c>
      <c r="M7" s="14" t="str">
        <f>$M$1</f>
        <v>Sản phẩm điện tử</v>
      </c>
      <c r="N7" s="14" t="str">
        <f>$N$1</f>
        <v>Sản phẩm khuyến mại</v>
      </c>
      <c r="O7" s="14"/>
      <c r="P7" s="19" t="str">
        <f>VLOOKUP(I7,Users!$A$2:$F$3,2,0)</f>
        <v>Trần Văn Tuấn</v>
      </c>
      <c r="Q7" s="19" t="str">
        <f>VLOOKUP(H7,Categories!$A$2:$D$8,2)</f>
        <v>Laptop</v>
      </c>
    </row>
    <row r="8" spans="1:17" x14ac:dyDescent="0.35">
      <c r="A8" s="18" t="s">
        <v>19</v>
      </c>
      <c r="B8" s="18" t="s">
        <v>20</v>
      </c>
      <c r="C8" s="19">
        <v>300000</v>
      </c>
      <c r="D8" s="20">
        <v>43863</v>
      </c>
      <c r="E8" s="20">
        <v>44014.676928159723</v>
      </c>
      <c r="F8" s="19"/>
      <c r="G8" s="19">
        <v>1</v>
      </c>
      <c r="H8" s="19" t="s">
        <v>13</v>
      </c>
      <c r="I8" s="19" t="s">
        <v>7</v>
      </c>
      <c r="J8" s="19">
        <v>300</v>
      </c>
      <c r="K8" s="14" t="str">
        <f t="shared" si="0"/>
        <v>Sản phẩm mới</v>
      </c>
      <c r="L8" s="14" t="str">
        <f>$L$1</f>
        <v>Sản phẩm bán chạy</v>
      </c>
      <c r="M8" s="14"/>
      <c r="N8" s="14" t="str">
        <f>$N$1</f>
        <v>Sản phẩm khuyến mại</v>
      </c>
      <c r="O8" s="14" t="str">
        <f>$O$1</f>
        <v>Sản phẩm điện lạnh</v>
      </c>
      <c r="P8" s="19" t="str">
        <f>VLOOKUP(I8,Users!$A$2:$F$3,2,0)</f>
        <v>Nguyễn Thu Huyền</v>
      </c>
      <c r="Q8" s="19" t="str">
        <f>VLOOKUP(H8,Categories!$A$2:$D$8,2)</f>
        <v>Điều hòa</v>
      </c>
    </row>
    <row r="9" spans="1:17" x14ac:dyDescent="0.35">
      <c r="A9" s="18" t="s">
        <v>21</v>
      </c>
      <c r="B9" s="18" t="s">
        <v>22</v>
      </c>
      <c r="C9" s="19">
        <v>300000</v>
      </c>
      <c r="D9" s="20">
        <v>43863</v>
      </c>
      <c r="E9" s="20">
        <v>44014.673730671297</v>
      </c>
      <c r="F9" s="19"/>
      <c r="G9" s="19">
        <v>1</v>
      </c>
      <c r="H9" s="19" t="s">
        <v>6</v>
      </c>
      <c r="I9" s="19" t="s">
        <v>7</v>
      </c>
      <c r="J9" s="19">
        <v>300</v>
      </c>
      <c r="K9" s="14" t="str">
        <f t="shared" si="0"/>
        <v>Sản phẩm mới</v>
      </c>
      <c r="L9" s="19"/>
      <c r="M9" s="14" t="str">
        <f>$M$1</f>
        <v>Sản phẩm điện tử</v>
      </c>
      <c r="N9" s="19"/>
      <c r="O9" s="19"/>
      <c r="P9" s="19" t="str">
        <f>VLOOKUP(I9,Users!$A$2:$F$3,2,0)</f>
        <v>Nguyễn Thu Huyền</v>
      </c>
      <c r="Q9" s="19" t="str">
        <f>VLOOKUP(H9,Categories!$A$2:$D$8,2)</f>
        <v>Laptop</v>
      </c>
    </row>
    <row r="10" spans="1:17" x14ac:dyDescent="0.35">
      <c r="A10" s="18" t="s">
        <v>23</v>
      </c>
      <c r="B10" s="18" t="s">
        <v>24</v>
      </c>
      <c r="C10" s="19">
        <v>300000</v>
      </c>
      <c r="D10" s="20">
        <v>43863</v>
      </c>
      <c r="E10" s="20">
        <v>44014.682237118053</v>
      </c>
      <c r="F10" s="19"/>
      <c r="G10" s="19">
        <v>1</v>
      </c>
      <c r="H10" s="19" t="s">
        <v>10</v>
      </c>
      <c r="I10" s="19" t="s">
        <v>7</v>
      </c>
      <c r="J10" s="19">
        <v>300</v>
      </c>
      <c r="K10" s="14" t="str">
        <f t="shared" si="0"/>
        <v>Sản phẩm mới</v>
      </c>
      <c r="L10" s="19"/>
      <c r="M10" s="19"/>
      <c r="N10" s="19"/>
      <c r="O10" s="19"/>
      <c r="P10" s="19" t="str">
        <f>VLOOKUP(I10,Users!$A$2:$F$3,2,0)</f>
        <v>Nguyễn Thu Huyền</v>
      </c>
      <c r="Q10" s="19" t="str">
        <f>VLOOKUP(H10,Categories!$A$2:$D$8,2)</f>
        <v>Ô tô</v>
      </c>
    </row>
    <row r="11" spans="1:17" x14ac:dyDescent="0.35">
      <c r="A11" s="18" t="s">
        <v>25</v>
      </c>
      <c r="B11" s="18" t="s">
        <v>26</v>
      </c>
      <c r="C11" s="19">
        <v>300000</v>
      </c>
      <c r="D11" s="20">
        <v>43863</v>
      </c>
      <c r="E11" s="20">
        <v>44014.670868055553</v>
      </c>
      <c r="F11" s="19"/>
      <c r="G11" s="19">
        <v>1</v>
      </c>
      <c r="H11" s="19" t="s">
        <v>27</v>
      </c>
      <c r="I11" s="19" t="s">
        <v>3</v>
      </c>
      <c r="J11" s="19">
        <v>300</v>
      </c>
      <c r="K11" s="14" t="str">
        <f t="shared" si="0"/>
        <v>Sản phẩm mới</v>
      </c>
      <c r="L11" s="14" t="str">
        <f>$L$1</f>
        <v>Sản phẩm bán chạy</v>
      </c>
      <c r="M11" s="14" t="str">
        <f>$M$1</f>
        <v>Sản phẩm điện tử</v>
      </c>
      <c r="N11" s="14"/>
      <c r="O11" s="14"/>
      <c r="P11" s="19" t="str">
        <f>VLOOKUP(I11,Users!$A$2:$F$3,2,0)</f>
        <v>Trần Văn Tuấn</v>
      </c>
      <c r="Q11" s="19" t="str">
        <f>VLOOKUP(H11,Categories!$A$2:$D$8,2)</f>
        <v>Điều hòa</v>
      </c>
    </row>
    <row r="12" spans="1:17" x14ac:dyDescent="0.35">
      <c r="A12" s="18" t="s">
        <v>28</v>
      </c>
      <c r="B12" s="18" t="s">
        <v>29</v>
      </c>
      <c r="C12" s="19">
        <v>300000</v>
      </c>
      <c r="D12" s="20">
        <v>43863</v>
      </c>
      <c r="E12" s="20">
        <v>44014.671231562497</v>
      </c>
      <c r="F12" s="19"/>
      <c r="G12" s="19">
        <v>1</v>
      </c>
      <c r="H12" s="19" t="s">
        <v>27</v>
      </c>
      <c r="I12" s="19" t="s">
        <v>7</v>
      </c>
      <c r="J12" s="19">
        <v>300</v>
      </c>
      <c r="K12" s="14" t="str">
        <f t="shared" si="0"/>
        <v>Sản phẩm mới</v>
      </c>
      <c r="L12" s="14" t="str">
        <f>$L$1</f>
        <v>Sản phẩm bán chạy</v>
      </c>
      <c r="M12" s="14" t="str">
        <f>$M$1</f>
        <v>Sản phẩm điện tử</v>
      </c>
      <c r="N12" s="14"/>
      <c r="O12" s="14"/>
      <c r="P12" s="19" t="str">
        <f>VLOOKUP(I12,Users!$A$2:$F$3,2,0)</f>
        <v>Nguyễn Thu Huyền</v>
      </c>
      <c r="Q12" s="19" t="str">
        <f>VLOOKUP(H12,Categories!$A$2:$D$8,2)</f>
        <v>Điều hòa</v>
      </c>
    </row>
    <row r="13" spans="1:17" x14ac:dyDescent="0.35">
      <c r="A13" s="18" t="s">
        <v>30</v>
      </c>
      <c r="B13" s="18" t="s">
        <v>31</v>
      </c>
      <c r="C13" s="19">
        <v>300000</v>
      </c>
      <c r="D13" s="20">
        <v>43863</v>
      </c>
      <c r="E13" s="20">
        <v>44014.675436111109</v>
      </c>
      <c r="F13" s="19"/>
      <c r="G13" s="19">
        <v>1</v>
      </c>
      <c r="H13" s="19" t="s">
        <v>2</v>
      </c>
      <c r="I13" s="19" t="s">
        <v>3</v>
      </c>
      <c r="J13" s="19">
        <v>300</v>
      </c>
      <c r="K13" s="14" t="str">
        <f t="shared" si="0"/>
        <v>Sản phẩm mới</v>
      </c>
      <c r="L13" s="19"/>
      <c r="M13" s="19"/>
      <c r="N13" s="19"/>
      <c r="O13" s="14" t="str">
        <f>$O$1</f>
        <v>Sản phẩm điện lạnh</v>
      </c>
      <c r="P13" s="19" t="str">
        <f>VLOOKUP(I13,Users!$A$2:$F$3,2,0)</f>
        <v>Trần Văn Tuấn</v>
      </c>
      <c r="Q13" s="19" t="str">
        <f>VLOOKUP(H13,Categories!$A$2:$D$8,2)</f>
        <v>Laptop</v>
      </c>
    </row>
    <row r="14" spans="1:17" x14ac:dyDescent="0.35">
      <c r="A14" s="18" t="s">
        <v>32</v>
      </c>
      <c r="B14" s="18" t="s">
        <v>33</v>
      </c>
      <c r="C14" s="19">
        <v>300000</v>
      </c>
      <c r="D14" s="20">
        <v>43863</v>
      </c>
      <c r="E14" s="20">
        <v>44014.685243553242</v>
      </c>
      <c r="F14" s="19"/>
      <c r="G14" s="19">
        <v>1</v>
      </c>
      <c r="H14" s="19" t="s">
        <v>34</v>
      </c>
      <c r="I14" s="19" t="s">
        <v>3</v>
      </c>
      <c r="J14" s="19">
        <v>300</v>
      </c>
      <c r="K14" s="14" t="str">
        <f t="shared" si="0"/>
        <v>Sản phẩm mới</v>
      </c>
      <c r="L14" s="19"/>
      <c r="M14" s="19"/>
      <c r="N14" s="19"/>
      <c r="O14" s="19"/>
      <c r="P14" s="19" t="str">
        <f>VLOOKUP(I14,Users!$A$2:$F$3,2,0)</f>
        <v>Trần Văn Tuấn</v>
      </c>
      <c r="Q14" s="19" t="str">
        <f>VLOOKUP(H14,Categories!$A$2:$D$8,2)</f>
        <v>Điều hòa</v>
      </c>
    </row>
    <row r="15" spans="1:17" x14ac:dyDescent="0.35">
      <c r="A15" s="18" t="s">
        <v>35</v>
      </c>
      <c r="B15" s="18" t="s">
        <v>36</v>
      </c>
      <c r="C15" s="19">
        <v>300000</v>
      </c>
      <c r="D15" s="20">
        <v>43863</v>
      </c>
      <c r="E15" s="20">
        <v>44014.685059490737</v>
      </c>
      <c r="F15" s="19"/>
      <c r="G15" s="19">
        <v>1</v>
      </c>
      <c r="H15" s="19" t="s">
        <v>34</v>
      </c>
      <c r="I15" s="19" t="s">
        <v>3</v>
      </c>
      <c r="J15" s="19">
        <v>300</v>
      </c>
      <c r="K15" s="14" t="str">
        <f t="shared" si="0"/>
        <v>Sản phẩm mới</v>
      </c>
      <c r="L15" s="19"/>
      <c r="M15" s="19"/>
      <c r="N15" s="19"/>
      <c r="O15" s="19"/>
      <c r="P15" s="19" t="str">
        <f>VLOOKUP(I15,Users!$A$2:$F$3,2,0)</f>
        <v>Trần Văn Tuấn</v>
      </c>
      <c r="Q15" s="19" t="str">
        <f>VLOOKUP(H15,Categories!$A$2:$D$8,2)</f>
        <v>Điều hòa</v>
      </c>
    </row>
    <row r="16" spans="1:17" x14ac:dyDescent="0.35">
      <c r="A16" s="18" t="s">
        <v>37</v>
      </c>
      <c r="B16" s="18" t="s">
        <v>38</v>
      </c>
      <c r="C16" s="19">
        <v>200000</v>
      </c>
      <c r="D16" s="20">
        <v>43498</v>
      </c>
      <c r="E16" s="20">
        <v>44014.681669826386</v>
      </c>
      <c r="F16" s="19"/>
      <c r="G16" s="19">
        <v>1</v>
      </c>
      <c r="H16" s="19" t="s">
        <v>10</v>
      </c>
      <c r="I16" s="19" t="s">
        <v>3</v>
      </c>
      <c r="J16" s="19">
        <v>200</v>
      </c>
      <c r="K16" s="19"/>
      <c r="L16" s="14" t="str">
        <f>$L$1</f>
        <v>Sản phẩm bán chạy</v>
      </c>
      <c r="M16" s="14"/>
      <c r="N16" s="14" t="str">
        <f>$N$1</f>
        <v>Sản phẩm khuyến mại</v>
      </c>
      <c r="O16" s="14"/>
      <c r="P16" s="19" t="str">
        <f>VLOOKUP(I16,Users!$A$2:$F$3,2,0)</f>
        <v>Trần Văn Tuấn</v>
      </c>
      <c r="Q16" s="19" t="str">
        <f>VLOOKUP(H16,Categories!$A$2:$D$8,2)</f>
        <v>Ô tô</v>
      </c>
    </row>
    <row r="17" spans="1:17" x14ac:dyDescent="0.35">
      <c r="A17" s="18" t="s">
        <v>39</v>
      </c>
      <c r="B17" s="18" t="s">
        <v>40</v>
      </c>
      <c r="C17" s="19">
        <v>200000</v>
      </c>
      <c r="D17" s="20">
        <v>43498</v>
      </c>
      <c r="E17" s="20">
        <v>44014.673041319445</v>
      </c>
      <c r="F17" s="19"/>
      <c r="G17" s="19">
        <v>1</v>
      </c>
      <c r="H17" s="19" t="s">
        <v>6</v>
      </c>
      <c r="I17" s="19" t="s">
        <v>3</v>
      </c>
      <c r="J17" s="19">
        <v>200</v>
      </c>
      <c r="K17" s="19"/>
      <c r="L17" s="19"/>
      <c r="M17" s="14" t="str">
        <f>$M$1</f>
        <v>Sản phẩm điện tử</v>
      </c>
      <c r="N17" s="19"/>
      <c r="O17" s="19"/>
      <c r="P17" s="19" t="str">
        <f>VLOOKUP(I17,Users!$A$2:$F$3,2,0)</f>
        <v>Trần Văn Tuấn</v>
      </c>
      <c r="Q17" s="19" t="str">
        <f>VLOOKUP(H17,Categories!$A$2:$D$8,2)</f>
        <v>Laptop</v>
      </c>
    </row>
    <row r="18" spans="1:17" x14ac:dyDescent="0.35">
      <c r="A18" s="18" t="s">
        <v>41</v>
      </c>
      <c r="B18" s="18" t="s">
        <v>42</v>
      </c>
      <c r="C18" s="19">
        <v>200000</v>
      </c>
      <c r="D18" s="20">
        <v>43498</v>
      </c>
      <c r="E18" s="20">
        <v>44014.675077118052</v>
      </c>
      <c r="F18" s="19"/>
      <c r="G18" s="19">
        <v>1</v>
      </c>
      <c r="H18" s="19" t="s">
        <v>2</v>
      </c>
      <c r="I18" s="19" t="s">
        <v>7</v>
      </c>
      <c r="J18" s="19">
        <v>200</v>
      </c>
      <c r="K18" s="19"/>
      <c r="L18" s="19"/>
      <c r="M18" s="19"/>
      <c r="N18" s="19"/>
      <c r="O18" s="14" t="str">
        <f>$O$1</f>
        <v>Sản phẩm điện lạnh</v>
      </c>
      <c r="P18" s="19" t="str">
        <f>VLOOKUP(I18,Users!$A$2:$F$3,2,0)</f>
        <v>Nguyễn Thu Huyền</v>
      </c>
      <c r="Q18" s="19" t="str">
        <f>VLOOKUP(H18,Categories!$A$2:$D$8,2)</f>
        <v>Laptop</v>
      </c>
    </row>
    <row r="19" spans="1:17" x14ac:dyDescent="0.35">
      <c r="A19" s="18" t="s">
        <v>43</v>
      </c>
      <c r="B19" s="18" t="s">
        <v>44</v>
      </c>
      <c r="C19" s="19">
        <v>200000</v>
      </c>
      <c r="D19" s="20">
        <v>43498</v>
      </c>
      <c r="E19" s="20">
        <v>44014.674998229166</v>
      </c>
      <c r="F19" s="19"/>
      <c r="G19" s="19">
        <v>1</v>
      </c>
      <c r="H19" s="19" t="s">
        <v>2</v>
      </c>
      <c r="I19" s="19" t="s">
        <v>7</v>
      </c>
      <c r="J19" s="19">
        <v>200</v>
      </c>
      <c r="K19" s="19"/>
      <c r="L19" s="19"/>
      <c r="M19" s="19"/>
      <c r="N19" s="19"/>
      <c r="O19" s="14" t="str">
        <f>$O$1</f>
        <v>Sản phẩm điện lạnh</v>
      </c>
      <c r="P19" s="19" t="str">
        <f>VLOOKUP(I19,Users!$A$2:$F$3,2,0)</f>
        <v>Nguyễn Thu Huyền</v>
      </c>
      <c r="Q19" s="19" t="str">
        <f>VLOOKUP(H19,Categories!$A$2:$D$8,2)</f>
        <v>Laptop</v>
      </c>
    </row>
    <row r="20" spans="1:17" x14ac:dyDescent="0.35">
      <c r="A20" s="18" t="s">
        <v>45</v>
      </c>
      <c r="B20" s="18" t="s">
        <v>46</v>
      </c>
      <c r="C20" s="19">
        <v>200000</v>
      </c>
      <c r="D20" s="20">
        <v>43498</v>
      </c>
      <c r="E20" s="20">
        <v>44014.666840081016</v>
      </c>
      <c r="F20" s="19"/>
      <c r="G20" s="19">
        <v>1</v>
      </c>
      <c r="H20" s="19" t="s">
        <v>27</v>
      </c>
      <c r="I20" s="19" t="s">
        <v>3</v>
      </c>
      <c r="J20" s="19">
        <v>200</v>
      </c>
      <c r="K20" s="19"/>
      <c r="L20" s="19"/>
      <c r="M20" s="14" t="str">
        <f>$M$1</f>
        <v>Sản phẩm điện tử</v>
      </c>
      <c r="N20" s="19"/>
      <c r="O20" s="19"/>
      <c r="P20" s="19" t="str">
        <f>VLOOKUP(I20,Users!$A$2:$F$3,2,0)</f>
        <v>Trần Văn Tuấn</v>
      </c>
      <c r="Q20" s="19" t="str">
        <f>VLOOKUP(H20,Categories!$A$2:$D$8,2)</f>
        <v>Điều hòa</v>
      </c>
    </row>
    <row r="21" spans="1:17" x14ac:dyDescent="0.35">
      <c r="A21" s="18" t="s">
        <v>47</v>
      </c>
      <c r="B21" s="18" t="s">
        <v>48</v>
      </c>
      <c r="C21" s="19">
        <v>200000</v>
      </c>
      <c r="D21" s="20">
        <v>43498</v>
      </c>
      <c r="E21" s="20">
        <v>44014.676517789354</v>
      </c>
      <c r="F21" s="19"/>
      <c r="G21" s="19">
        <v>1</v>
      </c>
      <c r="H21" s="19" t="s">
        <v>13</v>
      </c>
      <c r="I21" s="19" t="s">
        <v>3</v>
      </c>
      <c r="J21" s="19">
        <v>200</v>
      </c>
      <c r="K21" s="19"/>
      <c r="L21" s="19"/>
      <c r="M21" s="19"/>
      <c r="N21" s="19"/>
      <c r="O21" s="14" t="str">
        <f>$O$1</f>
        <v>Sản phẩm điện lạnh</v>
      </c>
      <c r="P21" s="19" t="str">
        <f>VLOOKUP(I21,Users!$A$2:$F$3,2,0)</f>
        <v>Trần Văn Tuấn</v>
      </c>
      <c r="Q21" s="19" t="str">
        <f>VLOOKUP(H21,Categories!$A$2:$D$8,2)</f>
        <v>Điều hòa</v>
      </c>
    </row>
    <row r="22" spans="1:17" x14ac:dyDescent="0.35">
      <c r="A22" s="18" t="s">
        <v>49</v>
      </c>
      <c r="B22" s="18" t="s">
        <v>50</v>
      </c>
      <c r="C22" s="19">
        <v>200000</v>
      </c>
      <c r="D22" s="20">
        <v>43498</v>
      </c>
      <c r="E22" s="20">
        <v>44014.676340821759</v>
      </c>
      <c r="F22" s="19"/>
      <c r="G22" s="19">
        <v>1</v>
      </c>
      <c r="H22" s="19" t="s">
        <v>13</v>
      </c>
      <c r="I22" s="19" t="s">
        <v>3</v>
      </c>
      <c r="J22" s="19">
        <v>200</v>
      </c>
      <c r="K22" s="19"/>
      <c r="L22" s="19"/>
      <c r="M22" s="19"/>
      <c r="N22" s="19"/>
      <c r="O22" s="14" t="str">
        <f>$O$1</f>
        <v>Sản phẩm điện lạnh</v>
      </c>
      <c r="P22" s="19" t="str">
        <f>VLOOKUP(I22,Users!$A$2:$F$3,2,0)</f>
        <v>Trần Văn Tuấn</v>
      </c>
      <c r="Q22" s="19" t="str">
        <f>VLOOKUP(H22,Categories!$A$2:$D$8,2)</f>
        <v>Điều hòa</v>
      </c>
    </row>
    <row r="23" spans="1:17" x14ac:dyDescent="0.35">
      <c r="A23" s="18" t="s">
        <v>51</v>
      </c>
      <c r="B23" s="18" t="s">
        <v>52</v>
      </c>
      <c r="C23" s="19">
        <v>200000</v>
      </c>
      <c r="D23" s="20">
        <v>43498</v>
      </c>
      <c r="E23" s="20">
        <v>44014.673288310187</v>
      </c>
      <c r="F23" s="19"/>
      <c r="G23" s="19">
        <v>1</v>
      </c>
      <c r="H23" s="19" t="s">
        <v>6</v>
      </c>
      <c r="I23" s="19" t="s">
        <v>3</v>
      </c>
      <c r="J23" s="19">
        <v>200</v>
      </c>
      <c r="K23" s="19"/>
      <c r="L23" s="14" t="str">
        <f>$L$1</f>
        <v>Sản phẩm bán chạy</v>
      </c>
      <c r="M23" s="14" t="str">
        <f>$M$1</f>
        <v>Sản phẩm điện tử</v>
      </c>
      <c r="N23" s="14"/>
      <c r="O23" s="14"/>
      <c r="P23" s="19" t="str">
        <f>VLOOKUP(I23,Users!$A$2:$F$3,2,0)</f>
        <v>Trần Văn Tuấn</v>
      </c>
      <c r="Q23" s="19" t="str">
        <f>VLOOKUP(H23,Categories!$A$2:$D$8,2)</f>
        <v>Laptop</v>
      </c>
    </row>
    <row r="24" spans="1:17" x14ac:dyDescent="0.35">
      <c r="A24" s="18" t="s">
        <v>53</v>
      </c>
      <c r="B24" s="18" t="s">
        <v>54</v>
      </c>
      <c r="C24" s="19">
        <v>200000</v>
      </c>
      <c r="D24" s="20">
        <v>43498</v>
      </c>
      <c r="E24" s="20">
        <v>44014.667451238427</v>
      </c>
      <c r="F24" s="19"/>
      <c r="G24" s="19">
        <v>1</v>
      </c>
      <c r="H24" s="19" t="s">
        <v>27</v>
      </c>
      <c r="I24" s="19" t="s">
        <v>7</v>
      </c>
      <c r="J24" s="19">
        <v>200</v>
      </c>
      <c r="K24" s="19"/>
      <c r="L24" s="14" t="str">
        <f>$L$1</f>
        <v>Sản phẩm bán chạy</v>
      </c>
      <c r="M24" s="14" t="str">
        <f>$M$1</f>
        <v>Sản phẩm điện tử</v>
      </c>
      <c r="N24" s="14"/>
      <c r="O24" s="14"/>
      <c r="P24" s="19" t="str">
        <f>VLOOKUP(I24,Users!$A$2:$F$3,2,0)</f>
        <v>Nguyễn Thu Huyền</v>
      </c>
      <c r="Q24" s="19" t="str">
        <f>VLOOKUP(H24,Categories!$A$2:$D$8,2)</f>
        <v>Điều hòa</v>
      </c>
    </row>
    <row r="25" spans="1:17" x14ac:dyDescent="0.35">
      <c r="A25" s="18" t="s">
        <v>55</v>
      </c>
      <c r="B25" s="18" t="s">
        <v>56</v>
      </c>
      <c r="C25" s="19">
        <v>200000</v>
      </c>
      <c r="D25" s="20">
        <v>43498</v>
      </c>
      <c r="E25" s="20">
        <v>44014.680040590276</v>
      </c>
      <c r="F25" s="19"/>
      <c r="G25" s="19">
        <v>1</v>
      </c>
      <c r="H25" s="19" t="s">
        <v>16</v>
      </c>
      <c r="I25" s="19" t="s">
        <v>3</v>
      </c>
      <c r="J25" s="19">
        <v>200</v>
      </c>
      <c r="K25" s="19"/>
      <c r="L25" s="19"/>
      <c r="M25" s="14" t="str">
        <f>$M$1</f>
        <v>Sản phẩm điện tử</v>
      </c>
      <c r="N25" s="19"/>
      <c r="O25" s="19"/>
      <c r="P25" s="19" t="str">
        <f>VLOOKUP(I25,Users!$A$2:$F$3,2,0)</f>
        <v>Trần Văn Tuấn</v>
      </c>
      <c r="Q25" s="19" t="str">
        <f>VLOOKUP(H25,Categories!$A$2:$D$8,2)</f>
        <v>Laptop</v>
      </c>
    </row>
    <row r="26" spans="1:17" x14ac:dyDescent="0.35">
      <c r="A26" s="18" t="s">
        <v>57</v>
      </c>
      <c r="B26" s="18" t="s">
        <v>58</v>
      </c>
      <c r="C26" s="19">
        <v>200000</v>
      </c>
      <c r="D26" s="20">
        <v>43498</v>
      </c>
      <c r="E26" s="20">
        <v>44014.679818634257</v>
      </c>
      <c r="F26" s="19"/>
      <c r="G26" s="19">
        <v>1</v>
      </c>
      <c r="H26" s="19" t="s">
        <v>16</v>
      </c>
      <c r="I26" s="19" t="s">
        <v>7</v>
      </c>
      <c r="J26" s="19">
        <v>200</v>
      </c>
      <c r="K26" s="19"/>
      <c r="L26" s="19"/>
      <c r="M26" s="14" t="str">
        <f>$M$1</f>
        <v>Sản phẩm điện tử</v>
      </c>
      <c r="N26" s="14" t="str">
        <f>$N$1</f>
        <v>Sản phẩm khuyến mại</v>
      </c>
      <c r="O26" s="19"/>
      <c r="P26" s="19" t="str">
        <f>VLOOKUP(I26,Users!$A$2:$F$3,2,0)</f>
        <v>Nguyễn Thu Huyền</v>
      </c>
      <c r="Q26" s="19" t="str">
        <f>VLOOKUP(H26,Categories!$A$2:$D$8,2)</f>
        <v>Laptop</v>
      </c>
    </row>
    <row r="27" spans="1:17" x14ac:dyDescent="0.35">
      <c r="A27" s="18" t="s">
        <v>59</v>
      </c>
      <c r="B27" s="18" t="s">
        <v>60</v>
      </c>
      <c r="C27" s="19">
        <v>200000</v>
      </c>
      <c r="D27" s="20">
        <v>43498</v>
      </c>
      <c r="E27" s="20">
        <v>44014.681909178238</v>
      </c>
      <c r="F27" s="19"/>
      <c r="G27" s="19">
        <v>1</v>
      </c>
      <c r="H27" s="19" t="s">
        <v>10</v>
      </c>
      <c r="I27" s="19" t="s">
        <v>7</v>
      </c>
      <c r="J27" s="19">
        <v>200</v>
      </c>
      <c r="K27" s="19"/>
      <c r="L27" s="14" t="str">
        <f>$L$1</f>
        <v>Sản phẩm bán chạy</v>
      </c>
      <c r="M27" s="14"/>
      <c r="N27" s="14"/>
      <c r="O27" s="14"/>
      <c r="P27" s="19" t="str">
        <f>VLOOKUP(I27,Users!$A$2:$F$3,2,0)</f>
        <v>Nguyễn Thu Huyền</v>
      </c>
      <c r="Q27" s="19" t="str">
        <f>VLOOKUP(H27,Categories!$A$2:$D$8,2)</f>
        <v>Ô tô</v>
      </c>
    </row>
    <row r="28" spans="1:17" x14ac:dyDescent="0.35">
      <c r="A28" s="18" t="s">
        <v>61</v>
      </c>
      <c r="B28" s="18" t="s">
        <v>62</v>
      </c>
      <c r="C28" s="19">
        <v>200000</v>
      </c>
      <c r="D28" s="20">
        <v>43498</v>
      </c>
      <c r="E28" s="20">
        <v>44014.684298298613</v>
      </c>
      <c r="F28" s="19"/>
      <c r="G28" s="19">
        <v>1</v>
      </c>
      <c r="H28" s="19" t="s">
        <v>34</v>
      </c>
      <c r="I28" s="19" t="s">
        <v>7</v>
      </c>
      <c r="J28" s="19">
        <v>200</v>
      </c>
      <c r="K28" s="19"/>
      <c r="L28" s="19"/>
      <c r="M28" s="19"/>
      <c r="N28" s="14" t="str">
        <f>$N$1</f>
        <v>Sản phẩm khuyến mại</v>
      </c>
      <c r="O28" s="19"/>
      <c r="P28" s="19" t="str">
        <f>VLOOKUP(I28,Users!$A$2:$F$3,2,0)</f>
        <v>Nguyễn Thu Huyền</v>
      </c>
      <c r="Q28" s="19" t="str">
        <f>VLOOKUP(H28,Categories!$A$2:$D$8,2)</f>
        <v>Điều hòa</v>
      </c>
    </row>
    <row r="29" spans="1:17" x14ac:dyDescent="0.35">
      <c r="A29" s="18" t="s">
        <v>63</v>
      </c>
      <c r="B29" s="18" t="s">
        <v>64</v>
      </c>
      <c r="C29" s="19">
        <v>200000</v>
      </c>
      <c r="D29" s="20">
        <v>43498</v>
      </c>
      <c r="E29" s="20">
        <v>44014.684590081015</v>
      </c>
      <c r="F29" s="19"/>
      <c r="G29" s="19">
        <v>1</v>
      </c>
      <c r="H29" s="19" t="s">
        <v>34</v>
      </c>
      <c r="I29" s="19" t="s">
        <v>3</v>
      </c>
      <c r="J29" s="19">
        <v>200</v>
      </c>
      <c r="K29" s="19"/>
      <c r="L29" s="19"/>
      <c r="M29" s="19"/>
      <c r="N29" s="19"/>
      <c r="O29" s="19"/>
      <c r="P29" s="19" t="str">
        <f>VLOOKUP(I29,Users!$A$2:$F$3,2,0)</f>
        <v>Trần Văn Tuấn</v>
      </c>
      <c r="Q29" s="19" t="str">
        <f>VLOOKUP(H29,Categories!$A$2:$D$8,2)</f>
        <v>Điều hòa</v>
      </c>
    </row>
    <row r="30" spans="1:17" x14ac:dyDescent="0.35">
      <c r="A30" s="18" t="s">
        <v>65</v>
      </c>
      <c r="B30" s="18" t="s">
        <v>66</v>
      </c>
      <c r="C30" s="19">
        <v>100000</v>
      </c>
      <c r="D30" s="20">
        <v>43133</v>
      </c>
      <c r="E30" s="20">
        <v>44014.679600034724</v>
      </c>
      <c r="F30" s="19"/>
      <c r="G30" s="19">
        <v>1</v>
      </c>
      <c r="H30" s="19" t="s">
        <v>16</v>
      </c>
      <c r="I30" s="19" t="s">
        <v>7</v>
      </c>
      <c r="J30" s="19">
        <v>100</v>
      </c>
      <c r="K30" s="19"/>
      <c r="L30" s="19"/>
      <c r="M30" s="14" t="str">
        <f>$M$1</f>
        <v>Sản phẩm điện tử</v>
      </c>
      <c r="N30" s="19"/>
      <c r="O30" s="19"/>
      <c r="P30" s="19" t="str">
        <f>VLOOKUP(I30,Users!$A$2:$F$3,2,0)</f>
        <v>Nguyễn Thu Huyền</v>
      </c>
      <c r="Q30" s="19" t="str">
        <f>VLOOKUP(H30,Categories!$A$2:$D$8,2)</f>
        <v>Laptop</v>
      </c>
    </row>
    <row r="31" spans="1:17" x14ac:dyDescent="0.35">
      <c r="A31" s="18" t="s">
        <v>67</v>
      </c>
      <c r="B31" s="18" t="s">
        <v>68</v>
      </c>
      <c r="C31" s="19">
        <v>100000</v>
      </c>
      <c r="D31" s="20">
        <v>43133</v>
      </c>
      <c r="E31" s="20">
        <v>44014.662683877315</v>
      </c>
      <c r="F31" s="19"/>
      <c r="G31" s="19">
        <v>1</v>
      </c>
      <c r="H31" s="19" t="s">
        <v>27</v>
      </c>
      <c r="I31" s="19" t="s">
        <v>3</v>
      </c>
      <c r="J31" s="19">
        <v>200</v>
      </c>
      <c r="K31" s="19"/>
      <c r="L31" s="19"/>
      <c r="M31" s="14" t="str">
        <f>$M$1</f>
        <v>Sản phẩm điện tử</v>
      </c>
      <c r="N31" s="14" t="str">
        <f>$N$1</f>
        <v>Sản phẩm khuyến mại</v>
      </c>
      <c r="O31" s="19"/>
      <c r="P31" s="19" t="str">
        <f>VLOOKUP(I31,Users!$A$2:$F$3,2,0)</f>
        <v>Trần Văn Tuấn</v>
      </c>
      <c r="Q31" s="19" t="str">
        <f>VLOOKUP(H31,Categories!$A$2:$D$8,2)</f>
        <v>Điều hòa</v>
      </c>
    </row>
    <row r="32" spans="1:17" x14ac:dyDescent="0.35">
      <c r="A32" s="18" t="s">
        <v>69</v>
      </c>
      <c r="B32" s="18" t="s">
        <v>70</v>
      </c>
      <c r="C32" s="19">
        <v>100000</v>
      </c>
      <c r="D32" s="20">
        <v>43133</v>
      </c>
      <c r="E32" s="20">
        <v>44014.674442557873</v>
      </c>
      <c r="F32" s="19"/>
      <c r="G32" s="19">
        <v>1</v>
      </c>
      <c r="H32" s="19" t="s">
        <v>2</v>
      </c>
      <c r="I32" s="19" t="s">
        <v>7</v>
      </c>
      <c r="J32" s="19">
        <v>100</v>
      </c>
      <c r="K32" s="19"/>
      <c r="L32" s="19"/>
      <c r="M32" s="19"/>
      <c r="N32" s="19"/>
      <c r="O32" s="14" t="str">
        <f>$O$1</f>
        <v>Sản phẩm điện lạnh</v>
      </c>
      <c r="P32" s="19" t="str">
        <f>VLOOKUP(I32,Users!$A$2:$F$3,2,0)</f>
        <v>Nguyễn Thu Huyền</v>
      </c>
      <c r="Q32" s="19" t="str">
        <f>VLOOKUP(H32,Categories!$A$2:$D$8,2)</f>
        <v>Laptop</v>
      </c>
    </row>
    <row r="33" spans="1:17" x14ac:dyDescent="0.35">
      <c r="A33" s="18" t="s">
        <v>71</v>
      </c>
      <c r="B33" s="18" t="s">
        <v>72</v>
      </c>
      <c r="C33" s="19">
        <v>100000</v>
      </c>
      <c r="D33" s="20">
        <v>43133</v>
      </c>
      <c r="E33" s="20">
        <v>44014.683997997687</v>
      </c>
      <c r="F33" s="19"/>
      <c r="G33" s="19">
        <v>1</v>
      </c>
      <c r="H33" s="19" t="s">
        <v>34</v>
      </c>
      <c r="I33" s="19" t="s">
        <v>7</v>
      </c>
      <c r="J33" s="19">
        <v>100</v>
      </c>
      <c r="K33" s="19"/>
      <c r="L33" s="19"/>
      <c r="M33" s="19"/>
      <c r="N33" s="19"/>
      <c r="O33" s="19"/>
      <c r="P33" s="19" t="str">
        <f>VLOOKUP(I33,Users!$A$2:$F$3,2,0)</f>
        <v>Nguyễn Thu Huyền</v>
      </c>
      <c r="Q33" s="19" t="str">
        <f>VLOOKUP(H33,Categories!$A$2:$D$8,2)</f>
        <v>Điều hòa</v>
      </c>
    </row>
    <row r="34" spans="1:17" x14ac:dyDescent="0.35">
      <c r="A34" s="18" t="s">
        <v>73</v>
      </c>
      <c r="B34" s="18" t="s">
        <v>74</v>
      </c>
      <c r="C34" s="19">
        <v>100000</v>
      </c>
      <c r="D34" s="20">
        <v>43133</v>
      </c>
      <c r="E34" s="20">
        <v>44014.684119409721</v>
      </c>
      <c r="F34" s="19"/>
      <c r="G34" s="19">
        <v>1</v>
      </c>
      <c r="H34" s="19" t="s">
        <v>34</v>
      </c>
      <c r="I34" s="19" t="s">
        <v>7</v>
      </c>
      <c r="J34" s="19">
        <v>100</v>
      </c>
      <c r="K34" s="19"/>
      <c r="L34" s="19"/>
      <c r="M34" s="19"/>
      <c r="N34" s="19"/>
      <c r="O34" s="19"/>
      <c r="P34" s="19" t="str">
        <f>VLOOKUP(I34,Users!$A$2:$F$3,2,0)</f>
        <v>Nguyễn Thu Huyền</v>
      </c>
      <c r="Q34" s="19" t="str">
        <f>VLOOKUP(H34,Categories!$A$2:$D$8,2)</f>
        <v>Điều hòa</v>
      </c>
    </row>
    <row r="35" spans="1:17" x14ac:dyDescent="0.35">
      <c r="A35" s="18" t="s">
        <v>75</v>
      </c>
      <c r="B35" s="18" t="s">
        <v>76</v>
      </c>
      <c r="C35" s="19">
        <v>100000</v>
      </c>
      <c r="D35" s="20">
        <v>43133</v>
      </c>
      <c r="E35" s="20">
        <v>44014.676184722222</v>
      </c>
      <c r="F35" s="19"/>
      <c r="G35" s="19">
        <v>1</v>
      </c>
      <c r="H35" s="19" t="s">
        <v>13</v>
      </c>
      <c r="I35" s="19" t="s">
        <v>3</v>
      </c>
      <c r="J35" s="19">
        <v>100</v>
      </c>
      <c r="K35" s="19"/>
      <c r="L35" s="19"/>
      <c r="M35" s="19"/>
      <c r="N35" s="19"/>
      <c r="O35" s="14" t="str">
        <f>$O$1</f>
        <v>Sản phẩm điện lạnh</v>
      </c>
      <c r="P35" s="19" t="str">
        <f>VLOOKUP(I35,Users!$A$2:$F$3,2,0)</f>
        <v>Trần Văn Tuấn</v>
      </c>
      <c r="Q35" s="19" t="str">
        <f>VLOOKUP(H35,Categories!$A$2:$D$8,2)</f>
        <v>Điều hòa</v>
      </c>
    </row>
    <row r="36" spans="1:17" x14ac:dyDescent="0.35">
      <c r="A36" s="18" t="s">
        <v>77</v>
      </c>
      <c r="B36" s="18" t="s">
        <v>78</v>
      </c>
      <c r="C36" s="19">
        <v>100000</v>
      </c>
      <c r="D36" s="20">
        <v>43133</v>
      </c>
      <c r="E36" s="20">
        <v>44014.681260219906</v>
      </c>
      <c r="F36" s="19"/>
      <c r="G36" s="19">
        <v>1</v>
      </c>
      <c r="H36" s="19" t="s">
        <v>10</v>
      </c>
      <c r="I36" s="19" t="s">
        <v>3</v>
      </c>
      <c r="J36" s="19">
        <v>100</v>
      </c>
      <c r="K36" s="19"/>
      <c r="L36" s="19" t="s">
        <v>94</v>
      </c>
      <c r="M36" s="19"/>
      <c r="N36" s="14" t="str">
        <f>$N$1</f>
        <v>Sản phẩm khuyến mại</v>
      </c>
      <c r="O36" s="19"/>
      <c r="P36" s="19" t="str">
        <f>VLOOKUP(I36,Users!$A$2:$F$3,2,0)</f>
        <v>Trần Văn Tuấn</v>
      </c>
      <c r="Q36" s="19" t="str">
        <f>VLOOKUP(H36,Categories!$A$2:$D$8,2)</f>
        <v>Ô tô</v>
      </c>
    </row>
    <row r="37" spans="1:17" x14ac:dyDescent="0.35">
      <c r="A37" s="18" t="s">
        <v>79</v>
      </c>
      <c r="B37" s="18" t="s">
        <v>80</v>
      </c>
      <c r="C37" s="19">
        <v>100000</v>
      </c>
      <c r="D37" s="20">
        <v>43133</v>
      </c>
      <c r="E37" s="20">
        <v>44014.672297685189</v>
      </c>
      <c r="F37" s="19"/>
      <c r="G37" s="19">
        <v>1</v>
      </c>
      <c r="H37" s="19" t="s">
        <v>6</v>
      </c>
      <c r="I37" s="19" t="s">
        <v>7</v>
      </c>
      <c r="J37" s="19">
        <v>100</v>
      </c>
      <c r="K37" s="19"/>
      <c r="L37" s="19"/>
      <c r="M37" s="14" t="str">
        <f>$M$1</f>
        <v>Sản phẩm điện tử</v>
      </c>
      <c r="N37" s="19"/>
      <c r="O37" s="19"/>
      <c r="P37" s="19" t="str">
        <f>VLOOKUP(I37,Users!$A$2:$F$3,2,0)</f>
        <v>Nguyễn Thu Huyền</v>
      </c>
      <c r="Q37" s="19" t="str">
        <f>VLOOKUP(H37,Categories!$A$2:$D$8,2)</f>
        <v>Laptop</v>
      </c>
    </row>
    <row r="38" spans="1:17" x14ac:dyDescent="0.35">
      <c r="A38" s="18" t="s">
        <v>81</v>
      </c>
      <c r="B38" s="18" t="s">
        <v>82</v>
      </c>
      <c r="C38" s="19">
        <v>100000</v>
      </c>
      <c r="D38" s="20">
        <v>43133</v>
      </c>
      <c r="E38" s="20">
        <v>44014.672457141205</v>
      </c>
      <c r="F38" s="19"/>
      <c r="G38" s="19">
        <v>1</v>
      </c>
      <c r="H38" s="19" t="s">
        <v>6</v>
      </c>
      <c r="I38" s="19" t="s">
        <v>7</v>
      </c>
      <c r="J38" s="19">
        <v>100</v>
      </c>
      <c r="K38" s="19"/>
      <c r="L38" s="19"/>
      <c r="M38" s="14" t="str">
        <f>$M$1</f>
        <v>Sản phẩm điện tử</v>
      </c>
      <c r="N38" s="14"/>
      <c r="O38" s="19"/>
      <c r="P38" s="19" t="str">
        <f>VLOOKUP(I38,Users!$A$2:$F$3,2,0)</f>
        <v>Nguyễn Thu Huyền</v>
      </c>
      <c r="Q38" s="19" t="str">
        <f>VLOOKUP(H38,Categories!$A$2:$D$8,2)</f>
        <v>Laptop</v>
      </c>
    </row>
    <row r="39" spans="1:17" x14ac:dyDescent="0.35">
      <c r="A39" s="18" t="s">
        <v>83</v>
      </c>
      <c r="B39" s="18" t="s">
        <v>84</v>
      </c>
      <c r="C39" s="19">
        <v>100000</v>
      </c>
      <c r="D39" s="20">
        <v>43133</v>
      </c>
      <c r="E39" s="20">
        <v>44014.676072916664</v>
      </c>
      <c r="F39" s="19"/>
      <c r="G39" s="19">
        <v>1</v>
      </c>
      <c r="H39" s="19" t="s">
        <v>13</v>
      </c>
      <c r="I39" s="19" t="s">
        <v>3</v>
      </c>
      <c r="J39" s="19">
        <v>100</v>
      </c>
      <c r="K39" s="19"/>
      <c r="L39" s="19"/>
      <c r="M39" s="19"/>
      <c r="N39" s="19"/>
      <c r="O39" s="14" t="str">
        <f>$O$1</f>
        <v>Sản phẩm điện lạnh</v>
      </c>
      <c r="P39" s="19" t="str">
        <f>VLOOKUP(I39,Users!$A$2:$F$3,2,0)</f>
        <v>Trần Văn Tuấn</v>
      </c>
      <c r="Q39" s="19" t="str">
        <f>VLOOKUP(H39,Categories!$A$2:$D$8,2)</f>
        <v>Điều hòa</v>
      </c>
    </row>
    <row r="40" spans="1:17" x14ac:dyDescent="0.35">
      <c r="A40" s="18" t="s">
        <v>85</v>
      </c>
      <c r="B40" s="18" t="s">
        <v>86</v>
      </c>
      <c r="C40" s="19">
        <v>100000</v>
      </c>
      <c r="D40" s="20">
        <v>43133</v>
      </c>
      <c r="E40" s="20">
        <v>44014.662055752313</v>
      </c>
      <c r="F40" s="19"/>
      <c r="G40" s="19">
        <v>1</v>
      </c>
      <c r="H40" s="19" t="s">
        <v>27</v>
      </c>
      <c r="I40" s="19" t="s">
        <v>3</v>
      </c>
      <c r="J40" s="19">
        <v>100</v>
      </c>
      <c r="K40" s="19"/>
      <c r="L40" s="19"/>
      <c r="M40" s="14" t="str">
        <f>$M$1</f>
        <v>Sản phẩm điện tử</v>
      </c>
      <c r="N40" s="14" t="str">
        <f>$N$1</f>
        <v>Sản phẩm khuyến mại</v>
      </c>
      <c r="O40" s="19"/>
      <c r="P40" s="19" t="str">
        <f>VLOOKUP(I40,Users!$A$2:$F$3,2,0)</f>
        <v>Trần Văn Tuấn</v>
      </c>
      <c r="Q40" s="19" t="str">
        <f>VLOOKUP(H40,Categories!$A$2:$D$8,2)</f>
        <v>Điều hòa</v>
      </c>
    </row>
    <row r="41" spans="1:17" x14ac:dyDescent="0.35">
      <c r="A41" s="18" t="s">
        <v>87</v>
      </c>
      <c r="B41" s="18" t="s">
        <v>88</v>
      </c>
      <c r="C41" s="19">
        <v>100000</v>
      </c>
      <c r="D41" s="20">
        <v>43133</v>
      </c>
      <c r="E41" s="20">
        <v>44014.681416979169</v>
      </c>
      <c r="F41" s="19"/>
      <c r="G41" s="19">
        <v>1</v>
      </c>
      <c r="H41" s="19" t="s">
        <v>10</v>
      </c>
      <c r="I41" s="19" t="s">
        <v>3</v>
      </c>
      <c r="J41" s="19">
        <v>100</v>
      </c>
      <c r="K41" s="19"/>
      <c r="L41" s="19" t="s">
        <v>94</v>
      </c>
      <c r="M41" s="14"/>
      <c r="N41" s="19"/>
      <c r="O41" s="19"/>
      <c r="P41" s="19" t="str">
        <f>VLOOKUP(I41,Users!$A$2:$F$3,2,0)</f>
        <v>Trần Văn Tuấn</v>
      </c>
      <c r="Q41" s="19" t="str">
        <f>VLOOKUP(H41,Categories!$A$2:$D$8,2)</f>
        <v>Ô tô</v>
      </c>
    </row>
    <row r="42" spans="1:17" x14ac:dyDescent="0.35">
      <c r="A42" s="18" t="s">
        <v>89</v>
      </c>
      <c r="B42" s="18" t="s">
        <v>90</v>
      </c>
      <c r="C42" s="19">
        <v>100000</v>
      </c>
      <c r="D42" s="20">
        <v>43133</v>
      </c>
      <c r="E42" s="20">
        <v>44014.679517824072</v>
      </c>
      <c r="F42" s="19"/>
      <c r="G42" s="19">
        <v>1</v>
      </c>
      <c r="H42" s="19" t="s">
        <v>16</v>
      </c>
      <c r="I42" s="19" t="s">
        <v>7</v>
      </c>
      <c r="J42" s="19">
        <v>100</v>
      </c>
      <c r="K42" s="19"/>
      <c r="L42" s="19"/>
      <c r="M42" s="14" t="str">
        <f>$M$1</f>
        <v>Sản phẩm điện tử</v>
      </c>
      <c r="N42" s="14" t="str">
        <f>$N$1</f>
        <v>Sản phẩm khuyến mại</v>
      </c>
      <c r="O42" s="19"/>
      <c r="P42" s="19" t="str">
        <f>VLOOKUP(I42,Users!$A$2:$F$3,2,0)</f>
        <v>Nguyễn Thu Huyền</v>
      </c>
      <c r="Q42" s="19" t="str">
        <f>VLOOKUP(H42,Categories!$A$2:$D$8,2)</f>
        <v>Laptop</v>
      </c>
    </row>
    <row r="43" spans="1:17" x14ac:dyDescent="0.35">
      <c r="A43" s="18" t="s">
        <v>91</v>
      </c>
      <c r="B43" s="18" t="s">
        <v>92</v>
      </c>
      <c r="C43" s="19">
        <v>100000</v>
      </c>
      <c r="D43" s="20">
        <v>43133</v>
      </c>
      <c r="E43" s="20">
        <v>44014.674761689814</v>
      </c>
      <c r="F43" s="19"/>
      <c r="G43" s="19">
        <v>1</v>
      </c>
      <c r="H43" s="19" t="s">
        <v>2</v>
      </c>
      <c r="I43" s="19" t="s">
        <v>7</v>
      </c>
      <c r="J43" s="19">
        <v>100</v>
      </c>
      <c r="K43" s="19"/>
      <c r="L43" s="19"/>
      <c r="M43" s="19"/>
      <c r="N43" s="19"/>
      <c r="O43" s="14" t="str">
        <f>$O$1</f>
        <v>Sản phẩm điện lạnh</v>
      </c>
      <c r="P43" s="19" t="str">
        <f>VLOOKUP(I43,Users!$A$2:$F$3,2,0)</f>
        <v>Nguyễn Thu Huyền</v>
      </c>
      <c r="Q43" s="19" t="str">
        <f>VLOOKUP(H43,Categories!$A$2:$D$8,2)</f>
        <v>Laptop</v>
      </c>
    </row>
    <row r="44" spans="1:17" x14ac:dyDescent="0.35">
      <c r="A44" s="18" t="s">
        <v>170</v>
      </c>
      <c r="B44" s="18" t="s">
        <v>171</v>
      </c>
      <c r="C44" s="19">
        <v>100000</v>
      </c>
      <c r="D44" s="20">
        <v>43133</v>
      </c>
      <c r="E44" s="20">
        <v>43984.674761689814</v>
      </c>
      <c r="F44" s="19"/>
      <c r="G44" s="19">
        <v>1</v>
      </c>
      <c r="H44" s="19" t="s">
        <v>27</v>
      </c>
      <c r="I44" s="19" t="s">
        <v>7</v>
      </c>
      <c r="J44" s="19">
        <v>20</v>
      </c>
      <c r="K44" s="19"/>
      <c r="L44" s="19"/>
      <c r="M44" s="19"/>
      <c r="N44" s="19"/>
      <c r="O44" s="14"/>
      <c r="P44" s="19" t="str">
        <f>VLOOKUP(I44,Users!$A$2:$F$3,2,0)</f>
        <v>Nguyễn Thu Huyền</v>
      </c>
      <c r="Q44" s="19" t="str">
        <f>VLOOKUP(H44,Categories!$A$2:$D$8,2)</f>
        <v>Điều hòa</v>
      </c>
    </row>
    <row r="45" spans="1:17" x14ac:dyDescent="0.35">
      <c r="A45" s="18" t="s">
        <v>85</v>
      </c>
      <c r="B45" s="18" t="s">
        <v>86</v>
      </c>
      <c r="C45" s="19">
        <v>100000</v>
      </c>
      <c r="D45" s="20">
        <v>43133</v>
      </c>
      <c r="E45" s="20">
        <v>44014.662055752313</v>
      </c>
      <c r="F45" s="19"/>
      <c r="G45" s="19">
        <v>1</v>
      </c>
      <c r="H45" s="19" t="s">
        <v>27</v>
      </c>
      <c r="I45" s="19" t="s">
        <v>3</v>
      </c>
      <c r="J45" s="19">
        <v>100</v>
      </c>
      <c r="K45" s="19"/>
      <c r="L45" s="19"/>
      <c r="M45" s="19"/>
      <c r="N45" s="19"/>
      <c r="O45" s="14"/>
      <c r="P45" s="19" t="str">
        <f>VLOOKUP(I45,Users!$A$2:$F$3,2,0)</f>
        <v>Trần Văn Tuấn</v>
      </c>
      <c r="Q45" s="19" t="str">
        <f>VLOOKUP(H45,Categories!$A$2:$D$8,2)</f>
        <v>Điều hòa</v>
      </c>
    </row>
  </sheetData>
  <autoFilter ref="A1:O45" xr:uid="{00000000-0009-0000-0000-000001000000}"/>
  <conditionalFormatting sqref="E2:E43">
    <cfRule type="expression" dxfId="7" priority="5">
      <formula>COLUMN()=CELL("col")</formula>
    </cfRule>
    <cfRule type="expression" dxfId="6" priority="6">
      <formula>ROW()=CELL("row")</formula>
    </cfRule>
  </conditionalFormatting>
  <conditionalFormatting sqref="A44:D45 F44:O45">
    <cfRule type="expression" dxfId="5" priority="3">
      <formula>COLUMN()=CELL("col")</formula>
    </cfRule>
    <cfRule type="expression" dxfId="4" priority="4">
      <formula>ROW()=CELL("row")</formula>
    </cfRule>
  </conditionalFormatting>
  <conditionalFormatting sqref="E44:E45">
    <cfRule type="expression" dxfId="3" priority="1">
      <formula>COLUMN()=CELL("col")</formula>
    </cfRule>
    <cfRule type="expression" dxfId="2" priority="2">
      <formula>ROW()=CELL("row")</formula>
    </cfRule>
  </conditionalFormatting>
  <conditionalFormatting sqref="A2:D43 F2:Q43">
    <cfRule type="expression" dxfId="1" priority="7">
      <formula>COLUMN()=CELL("col")</formula>
    </cfRule>
    <cfRule type="expression" dxfId="0" priority="8">
      <formula>ROW()=CELL("row")</formula>
    </cfRule>
  </conditionalFormatting>
  <pageMargins left="0.7" right="0.7" top="0.75" bottom="0.75" header="0.3" footer="0.3"/>
  <pageSetup orientation="portrait" copies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B6"/>
  <sheetViews>
    <sheetView workbookViewId="0">
      <selection activeCell="A5" sqref="A5"/>
    </sheetView>
  </sheetViews>
  <sheetFormatPr defaultRowHeight="14.4" x14ac:dyDescent="0.3"/>
  <cols>
    <col min="1" max="1" width="39" bestFit="1" customWidth="1"/>
    <col min="2" max="2" width="20.5546875" bestFit="1" customWidth="1"/>
  </cols>
  <sheetData>
    <row r="1" spans="1:2" ht="15.6" x14ac:dyDescent="0.3">
      <c r="A1" s="3" t="str">
        <f>DB!H16</f>
        <v>TagId</v>
      </c>
      <c r="B1" s="3" t="str">
        <f>DB!H17</f>
        <v>TagName</v>
      </c>
    </row>
    <row r="2" spans="1:2" x14ac:dyDescent="0.3">
      <c r="A2" s="1" t="s">
        <v>95</v>
      </c>
      <c r="B2" s="45" t="s">
        <v>100</v>
      </c>
    </row>
    <row r="3" spans="1:2" x14ac:dyDescent="0.3">
      <c r="A3" s="1" t="s">
        <v>96</v>
      </c>
      <c r="B3" s="45" t="s">
        <v>93</v>
      </c>
    </row>
    <row r="4" spans="1:2" x14ac:dyDescent="0.3">
      <c r="A4" s="1" t="s">
        <v>97</v>
      </c>
      <c r="B4" s="1" t="s">
        <v>98</v>
      </c>
    </row>
    <row r="5" spans="1:2" x14ac:dyDescent="0.3">
      <c r="A5" s="1" t="s">
        <v>99</v>
      </c>
      <c r="B5" s="45" t="s">
        <v>94</v>
      </c>
    </row>
    <row r="6" spans="1:2" x14ac:dyDescent="0.3">
      <c r="A6" s="1" t="s">
        <v>101</v>
      </c>
      <c r="B6" s="1" t="s">
        <v>102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7030A0"/>
  </sheetPr>
  <dimension ref="A1:E8"/>
  <sheetViews>
    <sheetView workbookViewId="0">
      <selection activeCell="D1" sqref="D1"/>
    </sheetView>
  </sheetViews>
  <sheetFormatPr defaultColWidth="9.109375" defaultRowHeight="18" x14ac:dyDescent="0.35"/>
  <cols>
    <col min="1" max="1" width="58.109375" style="24" customWidth="1"/>
    <col min="2" max="2" width="18.44140625" style="24" bestFit="1" customWidth="1"/>
    <col min="3" max="3" width="8.44140625" style="24" bestFit="1" customWidth="1"/>
    <col min="4" max="4" width="15.88671875" style="24" bestFit="1" customWidth="1"/>
    <col min="5" max="5" width="9.33203125" style="24" bestFit="1" customWidth="1"/>
    <col min="6" max="16384" width="9.109375" style="24"/>
  </cols>
  <sheetData>
    <row r="1" spans="1:5" x14ac:dyDescent="0.35">
      <c r="A1" s="23" t="str">
        <f>DB!H5</f>
        <v>CategoryId</v>
      </c>
      <c r="B1" s="23" t="str">
        <f>DB!H6</f>
        <v>CategoryName</v>
      </c>
      <c r="C1" s="23" t="str">
        <f>DB!H8</f>
        <v>Status</v>
      </c>
      <c r="D1" s="23" t="str">
        <f>DB!H9</f>
        <v>CreatedDate</v>
      </c>
    </row>
    <row r="2" spans="1:5" x14ac:dyDescent="0.35">
      <c r="A2" s="25" t="s">
        <v>27</v>
      </c>
      <c r="B2" s="26" t="s">
        <v>144</v>
      </c>
      <c r="C2" s="19">
        <v>1</v>
      </c>
      <c r="D2" s="27">
        <v>44011.826007986114</v>
      </c>
      <c r="E2" s="24">
        <v>1</v>
      </c>
    </row>
    <row r="3" spans="1:5" x14ac:dyDescent="0.35">
      <c r="A3" s="26" t="s">
        <v>6</v>
      </c>
      <c r="B3" s="26" t="s">
        <v>145</v>
      </c>
      <c r="C3" s="19">
        <v>1</v>
      </c>
      <c r="D3" s="27">
        <v>44014.64756380787</v>
      </c>
      <c r="E3" s="24">
        <v>2</v>
      </c>
    </row>
    <row r="4" spans="1:5" x14ac:dyDescent="0.35">
      <c r="A4" s="26" t="s">
        <v>2</v>
      </c>
      <c r="B4" s="26" t="s">
        <v>146</v>
      </c>
      <c r="C4" s="19">
        <v>1</v>
      </c>
      <c r="D4" s="27">
        <v>44014.647835069445</v>
      </c>
      <c r="E4" s="24">
        <v>3</v>
      </c>
    </row>
    <row r="5" spans="1:5" x14ac:dyDescent="0.35">
      <c r="A5" s="26" t="s">
        <v>13</v>
      </c>
      <c r="B5" s="26" t="s">
        <v>147</v>
      </c>
      <c r="C5" s="19">
        <v>1</v>
      </c>
      <c r="D5" s="27">
        <v>44014.647377048612</v>
      </c>
      <c r="E5" s="24">
        <v>4</v>
      </c>
    </row>
    <row r="6" spans="1:5" x14ac:dyDescent="0.35">
      <c r="A6" s="26" t="s">
        <v>16</v>
      </c>
      <c r="B6" s="26" t="s">
        <v>148</v>
      </c>
      <c r="C6" s="19">
        <v>1</v>
      </c>
      <c r="D6" s="27">
        <v>44014.649999108799</v>
      </c>
      <c r="E6" s="24">
        <v>5</v>
      </c>
    </row>
    <row r="7" spans="1:5" x14ac:dyDescent="0.35">
      <c r="A7" s="26" t="s">
        <v>10</v>
      </c>
      <c r="B7" s="26" t="s">
        <v>149</v>
      </c>
      <c r="C7" s="19">
        <v>1</v>
      </c>
      <c r="D7" s="27">
        <v>44014.64822476852</v>
      </c>
      <c r="E7" s="24">
        <v>6</v>
      </c>
    </row>
    <row r="8" spans="1:5" x14ac:dyDescent="0.35">
      <c r="A8" s="26" t="s">
        <v>34</v>
      </c>
      <c r="B8" s="26" t="s">
        <v>150</v>
      </c>
      <c r="C8" s="19">
        <v>1</v>
      </c>
      <c r="D8" s="27">
        <v>44014.648300810186</v>
      </c>
      <c r="E8" s="24">
        <v>7</v>
      </c>
    </row>
  </sheetData>
  <pageMargins left="0.7" right="0.7" top="0.75" bottom="0.75" header="0.3" footer="0.3"/>
  <pageSetup orientation="portrait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5" tint="-0.249977111117893"/>
  </sheetPr>
  <dimension ref="A1:G3"/>
  <sheetViews>
    <sheetView tabSelected="1" workbookViewId="0">
      <selection activeCell="E14" sqref="E14"/>
    </sheetView>
  </sheetViews>
  <sheetFormatPr defaultColWidth="9.109375" defaultRowHeight="18" x14ac:dyDescent="0.35"/>
  <cols>
    <col min="1" max="1" width="52.88671875" style="24" bestFit="1" customWidth="1"/>
    <col min="2" max="2" width="22.5546875" style="24" bestFit="1" customWidth="1"/>
    <col min="3" max="3" width="26.5546875" style="24" customWidth="1"/>
    <col min="4" max="4" width="24.5546875" style="24" bestFit="1" customWidth="1"/>
    <col min="5" max="5" width="15.6640625" style="24" bestFit="1" customWidth="1"/>
    <col min="6" max="6" width="8.44140625" style="24" bestFit="1" customWidth="1"/>
    <col min="7" max="7" width="13" style="24" bestFit="1" customWidth="1"/>
    <col min="8" max="16384" width="9.109375" style="24"/>
  </cols>
  <sheetData>
    <row r="1" spans="1:7" x14ac:dyDescent="0.35">
      <c r="A1" s="23" t="str">
        <f>DB!H22</f>
        <v>UserId</v>
      </c>
      <c r="B1" s="23" t="str">
        <f>DB!H23</f>
        <v>UserName</v>
      </c>
      <c r="C1" s="23" t="str">
        <f>DB!H24</f>
        <v>Password</v>
      </c>
      <c r="D1" s="23" t="str">
        <f>DB!H25</f>
        <v>Email</v>
      </c>
      <c r="E1" s="23" t="str">
        <f>DB!H26</f>
        <v>Mobile</v>
      </c>
      <c r="F1" s="23" t="str">
        <f>DB!H27</f>
        <v>Status</v>
      </c>
      <c r="G1" s="23" t="str">
        <f>DB!H28</f>
        <v>CreatedDate</v>
      </c>
    </row>
    <row r="2" spans="1:7" x14ac:dyDescent="0.35">
      <c r="A2" s="26" t="s">
        <v>3</v>
      </c>
      <c r="B2" s="26" t="s">
        <v>151</v>
      </c>
      <c r="C2" s="26">
        <v>123456</v>
      </c>
      <c r="D2" s="26" t="s">
        <v>152</v>
      </c>
      <c r="E2" s="28" t="s">
        <v>155</v>
      </c>
      <c r="F2" s="19">
        <v>1</v>
      </c>
      <c r="G2" s="27">
        <v>44011.826007986114</v>
      </c>
    </row>
    <row r="3" spans="1:7" x14ac:dyDescent="0.35">
      <c r="A3" s="26" t="s">
        <v>7</v>
      </c>
      <c r="B3" s="26" t="s">
        <v>153</v>
      </c>
      <c r="C3" s="26">
        <v>654321</v>
      </c>
      <c r="D3" s="26" t="s">
        <v>154</v>
      </c>
      <c r="E3" s="28" t="s">
        <v>156</v>
      </c>
      <c r="F3" s="19">
        <v>1</v>
      </c>
      <c r="G3" s="27">
        <v>44014.64756380787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37"/>
  <sheetViews>
    <sheetView topLeftCell="A19" workbookViewId="0">
      <selection activeCell="B35" sqref="B35"/>
    </sheetView>
  </sheetViews>
  <sheetFormatPr defaultColWidth="9.109375" defaultRowHeight="14.4" x14ac:dyDescent="0.3"/>
  <cols>
    <col min="1" max="1" width="12.44140625" style="2" customWidth="1"/>
    <col min="2" max="2" width="148.6640625" style="7" customWidth="1"/>
    <col min="3" max="16384" width="9.109375" style="2"/>
  </cols>
  <sheetData>
    <row r="1" spans="1:2" x14ac:dyDescent="0.3">
      <c r="A1" s="5" t="s">
        <v>164</v>
      </c>
      <c r="B1" s="5" t="s">
        <v>165</v>
      </c>
    </row>
    <row r="2" spans="1:2" x14ac:dyDescent="0.3">
      <c r="A2" s="5" t="s">
        <v>176</v>
      </c>
      <c r="B2" s="5" t="s">
        <v>169</v>
      </c>
    </row>
    <row r="3" spans="1:2" x14ac:dyDescent="0.3">
      <c r="A3" s="6">
        <v>1</v>
      </c>
      <c r="B3" s="8" t="s">
        <v>166</v>
      </c>
    </row>
    <row r="4" spans="1:2" x14ac:dyDescent="0.3">
      <c r="A4" s="6">
        <v>2</v>
      </c>
      <c r="B4" s="8" t="s">
        <v>167</v>
      </c>
    </row>
    <row r="5" spans="1:2" x14ac:dyDescent="0.3">
      <c r="A5" s="6">
        <v>3</v>
      </c>
      <c r="B5" s="8" t="s">
        <v>168</v>
      </c>
    </row>
    <row r="6" spans="1:2" x14ac:dyDescent="0.3">
      <c r="A6" s="6">
        <v>4</v>
      </c>
      <c r="B6" s="8" t="s">
        <v>212</v>
      </c>
    </row>
    <row r="7" spans="1:2" x14ac:dyDescent="0.3">
      <c r="A7" s="6">
        <v>5</v>
      </c>
      <c r="B7" s="4" t="s">
        <v>172</v>
      </c>
    </row>
    <row r="8" spans="1:2" x14ac:dyDescent="0.3">
      <c r="A8" s="6">
        <v>6</v>
      </c>
      <c r="B8" s="4" t="s">
        <v>173</v>
      </c>
    </row>
    <row r="9" spans="1:2" x14ac:dyDescent="0.3">
      <c r="A9" s="6">
        <v>7</v>
      </c>
      <c r="B9" s="4" t="s">
        <v>174</v>
      </c>
    </row>
    <row r="10" spans="1:2" x14ac:dyDescent="0.3">
      <c r="A10" s="6">
        <v>8</v>
      </c>
      <c r="B10" s="4" t="s">
        <v>175</v>
      </c>
    </row>
    <row r="11" spans="1:2" x14ac:dyDescent="0.3">
      <c r="A11" s="6">
        <v>9</v>
      </c>
      <c r="B11" s="4" t="s">
        <v>180</v>
      </c>
    </row>
    <row r="12" spans="1:2" x14ac:dyDescent="0.3">
      <c r="A12" s="5" t="s">
        <v>177</v>
      </c>
      <c r="B12" s="5" t="s">
        <v>178</v>
      </c>
    </row>
    <row r="13" spans="1:2" x14ac:dyDescent="0.3">
      <c r="A13" s="6">
        <v>1</v>
      </c>
      <c r="B13" s="4" t="s">
        <v>179</v>
      </c>
    </row>
    <row r="14" spans="1:2" x14ac:dyDescent="0.3">
      <c r="A14" s="6">
        <v>2</v>
      </c>
      <c r="B14" s="4" t="s">
        <v>181</v>
      </c>
    </row>
    <row r="15" spans="1:2" ht="47.25" customHeight="1" x14ac:dyDescent="0.3">
      <c r="A15" s="6">
        <v>3</v>
      </c>
      <c r="B15" s="44" t="s">
        <v>203</v>
      </c>
    </row>
    <row r="16" spans="1:2" x14ac:dyDescent="0.3">
      <c r="A16" s="6">
        <v>4</v>
      </c>
      <c r="B16" s="42" t="s">
        <v>182</v>
      </c>
    </row>
    <row r="17" spans="1:2" x14ac:dyDescent="0.3">
      <c r="A17" s="6">
        <v>5</v>
      </c>
      <c r="B17" s="42" t="s">
        <v>183</v>
      </c>
    </row>
    <row r="18" spans="1:2" ht="19.5" customHeight="1" x14ac:dyDescent="0.3">
      <c r="A18" s="6">
        <v>6</v>
      </c>
      <c r="B18" s="44" t="s">
        <v>201</v>
      </c>
    </row>
    <row r="19" spans="1:2" x14ac:dyDescent="0.3">
      <c r="A19" s="6">
        <v>7</v>
      </c>
      <c r="B19" s="42" t="s">
        <v>184</v>
      </c>
    </row>
    <row r="20" spans="1:2" x14ac:dyDescent="0.3">
      <c r="A20" s="6">
        <v>8</v>
      </c>
      <c r="B20" s="8" t="s">
        <v>193</v>
      </c>
    </row>
    <row r="21" spans="1:2" x14ac:dyDescent="0.3">
      <c r="A21" s="6">
        <v>9</v>
      </c>
      <c r="B21" s="43" t="s">
        <v>202</v>
      </c>
    </row>
    <row r="22" spans="1:2" x14ac:dyDescent="0.3">
      <c r="A22" s="6">
        <v>10</v>
      </c>
      <c r="B22" s="8" t="s">
        <v>185</v>
      </c>
    </row>
    <row r="23" spans="1:2" x14ac:dyDescent="0.3">
      <c r="A23" s="6">
        <v>11</v>
      </c>
      <c r="B23" s="4" t="s">
        <v>186</v>
      </c>
    </row>
    <row r="24" spans="1:2" x14ac:dyDescent="0.3">
      <c r="A24" s="6">
        <v>12</v>
      </c>
      <c r="B24" s="4" t="s">
        <v>187</v>
      </c>
    </row>
    <row r="25" spans="1:2" s="47" customFormat="1" x14ac:dyDescent="0.3">
      <c r="A25" s="46">
        <v>13</v>
      </c>
      <c r="B25" s="42" t="s">
        <v>188</v>
      </c>
    </row>
    <row r="26" spans="1:2" s="47" customFormat="1" x14ac:dyDescent="0.3">
      <c r="A26" s="46">
        <v>14</v>
      </c>
      <c r="B26" s="42" t="s">
        <v>189</v>
      </c>
    </row>
    <row r="27" spans="1:2" x14ac:dyDescent="0.3">
      <c r="A27" s="6">
        <v>15</v>
      </c>
      <c r="B27" s="4" t="s">
        <v>190</v>
      </c>
    </row>
    <row r="28" spans="1:2" x14ac:dyDescent="0.3">
      <c r="A28" s="6">
        <v>16</v>
      </c>
      <c r="B28" s="4" t="s">
        <v>191</v>
      </c>
    </row>
    <row r="29" spans="1:2" x14ac:dyDescent="0.3">
      <c r="A29" s="6">
        <v>16</v>
      </c>
      <c r="B29" s="4" t="s">
        <v>192</v>
      </c>
    </row>
    <row r="30" spans="1:2" x14ac:dyDescent="0.3">
      <c r="A30" s="5" t="s">
        <v>194</v>
      </c>
      <c r="B30" s="5" t="s">
        <v>195</v>
      </c>
    </row>
    <row r="31" spans="1:2" x14ac:dyDescent="0.3">
      <c r="A31" s="6">
        <v>1</v>
      </c>
      <c r="B31" s="4" t="s">
        <v>196</v>
      </c>
    </row>
    <row r="32" spans="1:2" x14ac:dyDescent="0.3">
      <c r="A32" s="6">
        <v>2</v>
      </c>
      <c r="B32" s="4" t="s">
        <v>197</v>
      </c>
    </row>
    <row r="33" spans="1:2" x14ac:dyDescent="0.3">
      <c r="A33" s="6">
        <v>3</v>
      </c>
      <c r="B33" s="4" t="s">
        <v>198</v>
      </c>
    </row>
    <row r="34" spans="1:2" x14ac:dyDescent="0.3">
      <c r="A34" s="6">
        <v>4</v>
      </c>
      <c r="B34" s="4" t="s">
        <v>199</v>
      </c>
    </row>
    <row r="35" spans="1:2" x14ac:dyDescent="0.3">
      <c r="A35" s="6">
        <v>5</v>
      </c>
      <c r="B35" s="4" t="s">
        <v>200</v>
      </c>
    </row>
    <row r="36" spans="1:2" x14ac:dyDescent="0.3">
      <c r="A36" s="6">
        <v>6</v>
      </c>
      <c r="B36" s="4"/>
    </row>
    <row r="37" spans="1:2" x14ac:dyDescent="0.3">
      <c r="A37" s="6">
        <v>7</v>
      </c>
      <c r="B37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DB</vt:lpstr>
      <vt:lpstr>Products</vt:lpstr>
      <vt:lpstr>Tags</vt:lpstr>
      <vt:lpstr>Categories</vt:lpstr>
      <vt:lpstr>Users</vt:lpstr>
      <vt:lpstr>EXS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HST</dc:creator>
  <cp:lastModifiedBy>Tran Ngoc Tu</cp:lastModifiedBy>
  <dcterms:created xsi:type="dcterms:W3CDTF">2020-07-02T10:06:33Z</dcterms:created>
  <dcterms:modified xsi:type="dcterms:W3CDTF">2023-11-23T12:07:06Z</dcterms:modified>
</cp:coreProperties>
</file>